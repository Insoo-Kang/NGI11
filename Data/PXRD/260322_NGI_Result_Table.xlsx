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심화실무실습\1. 실험 데이터\5. NGI\Raw\PXRD\"/>
    </mc:Choice>
  </mc:AlternateContent>
  <xr:revisionPtr revIDLastSave="0" documentId="13_ncr:1_{FB912E50-7836-4A0D-9600-5FB3FA5B53E8}" xr6:coauthVersionLast="47" xr6:coauthVersionMax="47" xr10:uidLastSave="{00000000-0000-0000-0000-000000000000}"/>
  <bookViews>
    <workbookView xWindow="-120" yWindow="-120" windowWidth="29040" windowHeight="15720" activeTab="1" xr2:uid="{A39896E4-86D9-41A8-A0E8-5BA1A6BB4D52}"/>
  </bookViews>
  <sheets>
    <sheet name="Raw 40LPM" sheetId="1" r:id="rId1"/>
    <sheet name="Raw 60LPM" sheetId="2" r:id="rId2"/>
    <sheet name="Needle 40LPM " sheetId="4" r:id="rId3"/>
    <sheet name="Needle 60LPM" sheetId="3" r:id="rId4"/>
    <sheet name="Rod 40LPM" sheetId="5" r:id="rId5"/>
    <sheet name="Rod 60LPM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5" i="6" l="1"/>
  <c r="G50" i="6"/>
  <c r="F50" i="5"/>
  <c r="G5" i="3"/>
  <c r="G50" i="3"/>
  <c r="G75" i="1"/>
  <c r="F75" i="1"/>
  <c r="E75" i="1"/>
  <c r="D75" i="1"/>
  <c r="C75" i="1"/>
  <c r="G73" i="1"/>
  <c r="F73" i="1"/>
  <c r="G72" i="1"/>
  <c r="F72" i="1"/>
  <c r="G71" i="1"/>
  <c r="F71" i="1"/>
  <c r="G70" i="1"/>
  <c r="F70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0" i="1"/>
  <c r="F50" i="1"/>
  <c r="G48" i="1"/>
  <c r="F48" i="1"/>
  <c r="G47" i="1"/>
  <c r="F47" i="1"/>
  <c r="G46" i="1"/>
  <c r="F46" i="1"/>
  <c r="G45" i="1"/>
  <c r="F45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E25" i="1"/>
  <c r="D25" i="1"/>
  <c r="C25" i="1"/>
  <c r="G23" i="1"/>
  <c r="F23" i="1"/>
  <c r="G22" i="1"/>
  <c r="F22" i="1"/>
  <c r="G21" i="1"/>
  <c r="F21" i="1"/>
  <c r="G20" i="1"/>
  <c r="F20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E75" i="6"/>
  <c r="D75" i="6"/>
  <c r="G75" i="6"/>
  <c r="G73" i="6"/>
  <c r="F73" i="6"/>
  <c r="G72" i="6"/>
  <c r="F72" i="6"/>
  <c r="G71" i="6"/>
  <c r="F71" i="6"/>
  <c r="G70" i="6"/>
  <c r="F70" i="6"/>
  <c r="G67" i="6"/>
  <c r="F67" i="6"/>
  <c r="G66" i="6"/>
  <c r="F66" i="6"/>
  <c r="G65" i="6"/>
  <c r="F65" i="6"/>
  <c r="G64" i="6"/>
  <c r="F64" i="6"/>
  <c r="G63" i="6"/>
  <c r="F63" i="6"/>
  <c r="G62" i="6"/>
  <c r="F62" i="6"/>
  <c r="G61" i="6"/>
  <c r="F61" i="6"/>
  <c r="G60" i="6"/>
  <c r="F60" i="6"/>
  <c r="G59" i="6"/>
  <c r="F59" i="6"/>
  <c r="G58" i="6"/>
  <c r="F58" i="6"/>
  <c r="G57" i="6"/>
  <c r="F57" i="6"/>
  <c r="G56" i="6"/>
  <c r="F56" i="6"/>
  <c r="G55" i="6"/>
  <c r="F55" i="6"/>
  <c r="F50" i="6"/>
  <c r="G48" i="6"/>
  <c r="F48" i="6"/>
  <c r="G47" i="6"/>
  <c r="F47" i="6"/>
  <c r="G46" i="6"/>
  <c r="F46" i="6"/>
  <c r="G45" i="6"/>
  <c r="F45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F30" i="6"/>
  <c r="G25" i="6"/>
  <c r="G23" i="6"/>
  <c r="F23" i="6"/>
  <c r="G22" i="6"/>
  <c r="F22" i="6"/>
  <c r="G21" i="6"/>
  <c r="F21" i="6"/>
  <c r="G20" i="6"/>
  <c r="F20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F10" i="6"/>
  <c r="G9" i="6"/>
  <c r="F9" i="6"/>
  <c r="G8" i="6"/>
  <c r="F8" i="6"/>
  <c r="G7" i="6"/>
  <c r="F7" i="6"/>
  <c r="G6" i="6"/>
  <c r="F6" i="6"/>
  <c r="G5" i="6"/>
  <c r="F5" i="6"/>
  <c r="G75" i="5"/>
  <c r="G73" i="5"/>
  <c r="F73" i="5"/>
  <c r="G72" i="5"/>
  <c r="F72" i="5"/>
  <c r="G71" i="5"/>
  <c r="F71" i="5"/>
  <c r="G70" i="5"/>
  <c r="F70" i="5"/>
  <c r="G67" i="5"/>
  <c r="F67" i="5"/>
  <c r="G66" i="5"/>
  <c r="F66" i="5"/>
  <c r="G65" i="5"/>
  <c r="F65" i="5"/>
  <c r="G64" i="5"/>
  <c r="F64" i="5"/>
  <c r="G63" i="5"/>
  <c r="F63" i="5"/>
  <c r="G62" i="5"/>
  <c r="F62" i="5"/>
  <c r="G61" i="5"/>
  <c r="F61" i="5"/>
  <c r="G60" i="5"/>
  <c r="F60" i="5"/>
  <c r="G59" i="5"/>
  <c r="F59" i="5"/>
  <c r="G58" i="5"/>
  <c r="F58" i="5"/>
  <c r="G57" i="5"/>
  <c r="F57" i="5"/>
  <c r="G56" i="5"/>
  <c r="F56" i="5"/>
  <c r="G55" i="5"/>
  <c r="F55" i="5"/>
  <c r="G50" i="5"/>
  <c r="G48" i="5"/>
  <c r="F48" i="5"/>
  <c r="G47" i="5"/>
  <c r="F47" i="5"/>
  <c r="G46" i="5"/>
  <c r="F46" i="5"/>
  <c r="G45" i="5"/>
  <c r="F45" i="5"/>
  <c r="G42" i="5"/>
  <c r="F42" i="5"/>
  <c r="G41" i="5"/>
  <c r="F41" i="5"/>
  <c r="G40" i="5"/>
  <c r="F40" i="5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5" i="5"/>
  <c r="G23" i="5"/>
  <c r="F23" i="5"/>
  <c r="G22" i="5"/>
  <c r="F22" i="5"/>
  <c r="G21" i="5"/>
  <c r="F21" i="5"/>
  <c r="G20" i="5"/>
  <c r="F20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/>
  <c r="F7" i="5"/>
  <c r="G6" i="5"/>
  <c r="F6" i="5"/>
  <c r="G5" i="5"/>
  <c r="F5" i="5"/>
  <c r="F75" i="3"/>
  <c r="G75" i="3"/>
  <c r="G73" i="3"/>
  <c r="F73" i="3"/>
  <c r="G72" i="3"/>
  <c r="F72" i="3"/>
  <c r="G71" i="3"/>
  <c r="F71" i="3"/>
  <c r="G70" i="3"/>
  <c r="F70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48" i="3"/>
  <c r="F48" i="3"/>
  <c r="G47" i="3"/>
  <c r="F47" i="3"/>
  <c r="G46" i="3"/>
  <c r="F46" i="3"/>
  <c r="G45" i="3"/>
  <c r="F45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5" i="3"/>
  <c r="G23" i="3"/>
  <c r="F23" i="3"/>
  <c r="G22" i="3"/>
  <c r="F22" i="3"/>
  <c r="G21" i="3"/>
  <c r="F21" i="3"/>
  <c r="G20" i="3"/>
  <c r="F20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F5" i="3"/>
  <c r="F75" i="4"/>
  <c r="G75" i="4"/>
  <c r="G73" i="4"/>
  <c r="F73" i="4"/>
  <c r="G72" i="4"/>
  <c r="F72" i="4"/>
  <c r="G71" i="4"/>
  <c r="F71" i="4"/>
  <c r="G70" i="4"/>
  <c r="F70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0" i="4"/>
  <c r="F50" i="4"/>
  <c r="G48" i="4"/>
  <c r="F48" i="4"/>
  <c r="G47" i="4"/>
  <c r="F47" i="4"/>
  <c r="G46" i="4"/>
  <c r="F46" i="4"/>
  <c r="G45" i="4"/>
  <c r="F45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E25" i="4"/>
  <c r="D25" i="4"/>
  <c r="C25" i="4"/>
  <c r="G23" i="4"/>
  <c r="F23" i="4"/>
  <c r="G22" i="4"/>
  <c r="F22" i="4"/>
  <c r="G21" i="4"/>
  <c r="F21" i="4"/>
  <c r="G20" i="4"/>
  <c r="F20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25" i="4" l="1"/>
  <c r="G25" i="1"/>
  <c r="F25" i="1"/>
  <c r="F25" i="6"/>
  <c r="F25" i="5"/>
  <c r="F75" i="5"/>
  <c r="F50" i="3"/>
  <c r="F25" i="3"/>
  <c r="F25" i="4"/>
  <c r="D100" i="2" l="1"/>
  <c r="C100" i="2"/>
  <c r="E75" i="2"/>
  <c r="D75" i="2"/>
  <c r="C75" i="2"/>
  <c r="G75" i="2" s="1"/>
  <c r="F100" i="2"/>
  <c r="G100" i="2"/>
  <c r="G98" i="2"/>
  <c r="F98" i="2"/>
  <c r="G97" i="2"/>
  <c r="F97" i="2"/>
  <c r="G96" i="2"/>
  <c r="F96" i="2"/>
  <c r="G95" i="2"/>
  <c r="F95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F75" i="2"/>
  <c r="G73" i="2"/>
  <c r="F73" i="2"/>
  <c r="G72" i="2"/>
  <c r="F72" i="2"/>
  <c r="G71" i="2"/>
  <c r="F71" i="2"/>
  <c r="G70" i="2"/>
  <c r="F70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0" i="2"/>
  <c r="G48" i="2"/>
  <c r="F48" i="2"/>
  <c r="G47" i="2"/>
  <c r="F47" i="2"/>
  <c r="G46" i="2"/>
  <c r="F46" i="2"/>
  <c r="G45" i="2"/>
  <c r="F45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5" i="2"/>
  <c r="F25" i="2"/>
  <c r="G23" i="2"/>
  <c r="F23" i="2"/>
  <c r="G22" i="2"/>
  <c r="F22" i="2"/>
  <c r="G21" i="2"/>
  <c r="F21" i="2"/>
  <c r="G20" i="2"/>
  <c r="F20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E25" i="2"/>
  <c r="D25" i="2"/>
  <c r="C25" i="2"/>
  <c r="F50" i="2" l="1"/>
</calcChain>
</file>

<file path=xl/sharedStrings.xml><?xml version="1.0" encoding="utf-8"?>
<sst xmlns="http://schemas.openxmlformats.org/spreadsheetml/2006/main" count="796" uniqueCount="40">
  <si>
    <t>15min. blending
60LPM</t>
    <phoneticPr fontId="1" type="noConversion"/>
  </si>
  <si>
    <t>IP</t>
  </si>
  <si>
    <t>PRE</t>
  </si>
  <si>
    <t>Stage 1</t>
  </si>
  <si>
    <t>Stage 2</t>
  </si>
  <si>
    <t>Stage 3</t>
  </si>
  <si>
    <t>Stage 4</t>
  </si>
  <si>
    <t>Stage 5</t>
  </si>
  <si>
    <t>Stage 6</t>
  </si>
  <si>
    <t>Stage 7</t>
  </si>
  <si>
    <t>Stage 8</t>
  </si>
  <si>
    <t>Remaining</t>
  </si>
  <si>
    <t>Mouth</t>
  </si>
  <si>
    <t>PTP/Vial</t>
  </si>
  <si>
    <t>ED</t>
  </si>
  <si>
    <t>FPD</t>
  </si>
  <si>
    <t>FPF(%)</t>
  </si>
  <si>
    <t>RD</t>
  </si>
  <si>
    <t>Sum All</t>
    <phoneticPr fontId="1" type="noConversion"/>
  </si>
  <si>
    <t>amount(mg)</t>
  </si>
  <si>
    <t>Avg.</t>
  </si>
  <si>
    <t>SD</t>
  </si>
  <si>
    <t>30min. blending
60LPM</t>
    <phoneticPr fontId="1" type="noConversion"/>
  </si>
  <si>
    <t>30min. blending
60LPM</t>
  </si>
  <si>
    <t>60min. blending
60LPM</t>
    <phoneticPr fontId="1" type="noConversion"/>
  </si>
  <si>
    <t>90min. blending
60LPM</t>
    <phoneticPr fontId="1" type="noConversion"/>
  </si>
  <si>
    <t>15min. blend</t>
    <phoneticPr fontId="1" type="noConversion"/>
  </si>
  <si>
    <t>30 min. blend</t>
  </si>
  <si>
    <t>30 min. blend</t>
    <phoneticPr fontId="1" type="noConversion"/>
  </si>
  <si>
    <t>60min. blend</t>
  </si>
  <si>
    <t>60min. blend</t>
    <phoneticPr fontId="1" type="noConversion"/>
  </si>
  <si>
    <t>90min. blend</t>
  </si>
  <si>
    <t>90min. blend</t>
    <phoneticPr fontId="1" type="noConversion"/>
  </si>
  <si>
    <t>60LPM (n=3)
Average</t>
    <phoneticPr fontId="1" type="noConversion"/>
  </si>
  <si>
    <t>60LPM (n=3)
SD</t>
    <phoneticPr fontId="1" type="noConversion"/>
  </si>
  <si>
    <t>30min. blending
40LPM</t>
    <phoneticPr fontId="1" type="noConversion"/>
  </si>
  <si>
    <t>60min. blending
40LPM</t>
    <phoneticPr fontId="1" type="noConversion"/>
  </si>
  <si>
    <t>90min. blending
40LPM</t>
    <phoneticPr fontId="1" type="noConversion"/>
  </si>
  <si>
    <t>90min. blending
40LPM</t>
  </si>
  <si>
    <t>60min. blending
60LPM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</si>
</sst>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월&quot;\ d&quot;일&quot;;@"/>
    <numFmt numFmtId="177" formatCode="mm&quot;월&quot;\ dd&quot;일&quot;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6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3" borderId="5" xfId="1" applyFill="1" applyBorder="1" applyAlignment="1">
      <alignment horizontal="center"/>
    </xf>
    <xf numFmtId="0" fontId="3" fillId="3" borderId="5" xfId="1" applyFont="1" applyFill="1" applyBorder="1" applyAlignment="1">
      <alignment horizontal="center"/>
    </xf>
    <xf numFmtId="0" fontId="0" fillId="3" borderId="13" xfId="0" applyFill="1" applyBorder="1" applyAlignment="1">
      <alignment horizontal="center" vertical="center"/>
    </xf>
    <xf numFmtId="0" fontId="4" fillId="3" borderId="13" xfId="1" applyFill="1" applyBorder="1" applyAlignment="1">
      <alignment horizontal="center"/>
    </xf>
    <xf numFmtId="0" fontId="0" fillId="3" borderId="1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6" xfId="1" applyBorder="1" applyAlignment="1">
      <alignment horizontal="center"/>
    </xf>
    <xf numFmtId="0" fontId="0" fillId="0" borderId="9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2" fillId="0" borderId="4" xfId="1" applyNumberFormat="1" applyFont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76" fontId="0" fillId="0" borderId="29" xfId="0" applyNumberFormat="1" applyBorder="1" applyAlignment="1">
      <alignment horizontal="center" vertical="center"/>
    </xf>
    <xf numFmtId="176" fontId="0" fillId="0" borderId="30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2">
    <cellStyle name="표준" xfId="0" builtinId="0"/>
    <cellStyle name="표준 2" xfId="1" xr:uid="{29397F23-9241-47B2-9814-1D793A5133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FPF(%)of NE Raw by blending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60LPM'!$B$122</c:f>
              <c:strCache>
                <c:ptCount val="1"/>
                <c:pt idx="0">
                  <c:v>FPF(%)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'Raw 60LPM'!$C$147:$F$147</c:f>
                <c:numCache>
                  <c:formatCode>General</c:formatCode>
                  <c:ptCount val="4"/>
                  <c:pt idx="0">
                    <c:v>1.0409277888752444</c:v>
                  </c:pt>
                  <c:pt idx="1">
                    <c:v>1.0253694267352169</c:v>
                  </c:pt>
                  <c:pt idx="2">
                    <c:v>1.4312485164185267</c:v>
                  </c:pt>
                  <c:pt idx="3">
                    <c:v>0.49516226439749134</c:v>
                  </c:pt>
                </c:numCache>
              </c:numRef>
            </c:plus>
            <c:minus>
              <c:numRef>
                <c:f>'Raw 60LPM'!$C$147:$F$147</c:f>
                <c:numCache>
                  <c:formatCode>General</c:formatCode>
                  <c:ptCount val="4"/>
                  <c:pt idx="0">
                    <c:v>1.0409277888752444</c:v>
                  </c:pt>
                  <c:pt idx="1">
                    <c:v>1.0253694267352169</c:v>
                  </c:pt>
                  <c:pt idx="2">
                    <c:v>1.4312485164185267</c:v>
                  </c:pt>
                  <c:pt idx="3">
                    <c:v>0.49516226439749134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'Raw 60LPM'!$C$119:$F$119</c:f>
              <c:strCache>
                <c:ptCount val="4"/>
                <c:pt idx="0">
                  <c:v>15min. blend</c:v>
                </c:pt>
                <c:pt idx="1">
                  <c:v>30 min. blend</c:v>
                </c:pt>
                <c:pt idx="2">
                  <c:v>60min. blend</c:v>
                </c:pt>
                <c:pt idx="3">
                  <c:v>90min. blend</c:v>
                </c:pt>
              </c:strCache>
            </c:strRef>
          </c:cat>
          <c:val>
            <c:numRef>
              <c:f>'Raw 60LPM'!$C$122:$F$122</c:f>
              <c:numCache>
                <c:formatCode>General</c:formatCode>
                <c:ptCount val="4"/>
                <c:pt idx="0">
                  <c:v>9.8712503232692388</c:v>
                </c:pt>
                <c:pt idx="1">
                  <c:v>11.683476548801044</c:v>
                </c:pt>
                <c:pt idx="2">
                  <c:v>10.69950799139469</c:v>
                </c:pt>
                <c:pt idx="3">
                  <c:v>10.733077572168769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0-41EF-A242-573EE2735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8263343"/>
        <c:axId val="1188261423"/>
      </c:barChart>
      <c:catAx>
        <c:axId val="1188263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Blending</a:t>
                </a:r>
                <a:r>
                  <a:rPr lang="en-US" altLang="ko-KR" baseline="0"/>
                  <a:t> time (min)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88261423"/>
        <c:crosses val="autoZero"/>
        <c:auto val="1"/>
        <c:lblAlgn val="ctr"/>
        <c:lblOffset val="100"/>
        <c:noMultiLvlLbl val="0"/>
      </c:catAx>
      <c:valAx>
        <c:axId val="1188261423"/>
        <c:scaling>
          <c:orientation val="minMax"/>
          <c:max val="13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FPF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88263343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FPF(%) of NE Needle</a:t>
            </a:r>
            <a:r>
              <a:rPr lang="en-US" altLang="ko-KR" baseline="0"/>
              <a:t> by blending time  (40LPM)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'Needle 40LPM '!$B$97</c:f>
              <c:strCache>
                <c:ptCount val="1"/>
                <c:pt idx="0">
                  <c:v>FPF(%)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'Needle 40LPM '!$C$122:$E$122</c:f>
                <c:numCache>
                  <c:formatCode>General</c:formatCode>
                  <c:ptCount val="3"/>
                  <c:pt idx="0">
                    <c:v>0.5029702082936145</c:v>
                  </c:pt>
                  <c:pt idx="1">
                    <c:v>3.8458555552264055</c:v>
                  </c:pt>
                  <c:pt idx="2">
                    <c:v>1.2470642584569633</c:v>
                  </c:pt>
                </c:numCache>
              </c:numRef>
            </c:plus>
            <c:minus>
              <c:numRef>
                <c:f>'Needle 40LPM '!$C$122:$E$122</c:f>
                <c:numCache>
                  <c:formatCode>General</c:formatCode>
                  <c:ptCount val="3"/>
                  <c:pt idx="0">
                    <c:v>0.5029702082936145</c:v>
                  </c:pt>
                  <c:pt idx="1">
                    <c:v>3.8458555552264055</c:v>
                  </c:pt>
                  <c:pt idx="2">
                    <c:v>1.2470642584569633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'Needle 40LPM '!$C$94:$E$94</c:f>
              <c:strCache>
                <c:ptCount val="3"/>
                <c:pt idx="0">
                  <c:v>30 min. blend</c:v>
                </c:pt>
                <c:pt idx="1">
                  <c:v>60min. blend</c:v>
                </c:pt>
                <c:pt idx="2">
                  <c:v>90min. blend</c:v>
                </c:pt>
              </c:strCache>
            </c:strRef>
          </c:cat>
          <c:val>
            <c:numRef>
              <c:f>'Needle 40LPM '!$C$97:$E$97</c:f>
              <c:numCache>
                <c:formatCode>General</c:formatCode>
                <c:ptCount val="3"/>
                <c:pt idx="0">
                  <c:v>18.047921433558074</c:v>
                </c:pt>
                <c:pt idx="1">
                  <c:v>19.303759777324917</c:v>
                </c:pt>
                <c:pt idx="2">
                  <c:v>17.706416984878263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8-4CC1-A138-E880A3C71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8191343"/>
        <c:axId val="1188194703"/>
      </c:barChart>
      <c:catAx>
        <c:axId val="1188191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Blending</a:t>
                </a:r>
                <a:r>
                  <a:rPr lang="en-US" altLang="ko-KR" baseline="0"/>
                  <a:t> time (min)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88194703"/>
        <c:crosses val="autoZero"/>
        <c:auto val="1"/>
        <c:lblAlgn val="ctr"/>
        <c:lblOffset val="100"/>
        <c:noMultiLvlLbl val="0"/>
      </c:catAx>
      <c:valAx>
        <c:axId val="1188194703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FPF </a:t>
                </a:r>
                <a:r>
                  <a:rPr lang="en-US" altLang="ko-KR" baseline="0"/>
                  <a:t>(%)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88191343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FPF(%) of NE Needle by blending</a:t>
            </a:r>
            <a:r>
              <a:rPr lang="en-US" altLang="ko-KR" baseline="0"/>
              <a:t> time (60LPM)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'Needle 60LPM'!$B$97</c:f>
              <c:strCache>
                <c:ptCount val="1"/>
                <c:pt idx="0">
                  <c:v>FPF(%)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'Needle 60LPM'!$C$122:$E$122</c:f>
                <c:numCache>
                  <c:formatCode>General</c:formatCode>
                  <c:ptCount val="3"/>
                  <c:pt idx="0">
                    <c:v>2.924337636721261</c:v>
                  </c:pt>
                  <c:pt idx="1">
                    <c:v>3.2308102815364106</c:v>
                  </c:pt>
                  <c:pt idx="2">
                    <c:v>4.8157042423624734</c:v>
                  </c:pt>
                </c:numCache>
              </c:numRef>
            </c:plus>
            <c:minus>
              <c:numRef>
                <c:f>'Needle 60LPM'!$C$122:$E$122</c:f>
                <c:numCache>
                  <c:formatCode>General</c:formatCode>
                  <c:ptCount val="3"/>
                  <c:pt idx="0">
                    <c:v>2.924337636721261</c:v>
                  </c:pt>
                  <c:pt idx="1">
                    <c:v>3.2308102815364106</c:v>
                  </c:pt>
                  <c:pt idx="2">
                    <c:v>4.8157042423624734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'Needle 60LPM'!$C$94:$E$94</c:f>
              <c:strCache>
                <c:ptCount val="3"/>
                <c:pt idx="0">
                  <c:v>30 min. blend</c:v>
                </c:pt>
                <c:pt idx="1">
                  <c:v>60min. blend</c:v>
                </c:pt>
                <c:pt idx="2">
                  <c:v>90min. blend</c:v>
                </c:pt>
              </c:strCache>
            </c:strRef>
          </c:cat>
          <c:val>
            <c:numRef>
              <c:f>'Needle 60LPM'!$C$97:$E$97</c:f>
              <c:numCache>
                <c:formatCode>General</c:formatCode>
                <c:ptCount val="3"/>
                <c:pt idx="0">
                  <c:v>34.880378684035293</c:v>
                </c:pt>
                <c:pt idx="1">
                  <c:v>40.112551231115738</c:v>
                </c:pt>
                <c:pt idx="2">
                  <c:v>40.962454416763769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2-4840-B5B1-A621C6353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8253263"/>
        <c:axId val="1188253743"/>
      </c:barChart>
      <c:catAx>
        <c:axId val="1188253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Blending time (min)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88253743"/>
        <c:crosses val="autoZero"/>
        <c:auto val="1"/>
        <c:lblAlgn val="ctr"/>
        <c:lblOffset val="100"/>
        <c:noMultiLvlLbl val="0"/>
      </c:catAx>
      <c:valAx>
        <c:axId val="1188253743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FPF</a:t>
                </a:r>
                <a:r>
                  <a:rPr lang="en-US" altLang="ko-KR" baseline="0"/>
                  <a:t> (%)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88253263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425824</xdr:colOff>
      <xdr:row>111</xdr:row>
      <xdr:rowOff>96371</xdr:rowOff>
    </xdr:from>
    <xdr:to>
      <xdr:col>10</xdr:col>
      <xdr:colOff>246529</xdr:colOff>
      <xdr:row>124</xdr:row>
      <xdr:rowOff>38101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703ECAB-BA6E-467F-5188-46C0E1CC0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85</xdr:row>
      <xdr:rowOff>133350</xdr:rowOff>
    </xdr:from>
    <xdr:to>
      <xdr:col>10</xdr:col>
      <xdr:colOff>342900</xdr:colOff>
      <xdr:row>98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B5AABB0-D9F7-0F07-34AC-50ED2D1C9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700087</xdr:colOff>
      <xdr:row>86</xdr:row>
      <xdr:rowOff>0</xdr:rowOff>
    </xdr:from>
    <xdr:to>
      <xdr:col>11</xdr:col>
      <xdr:colOff>147637</xdr:colOff>
      <xdr:row>98</xdr:row>
      <xdr:rowOff>200025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E1D1A4E-1CD3-7BA8-1F08-A0DB1FC2F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D97BD-FB5B-4C10-AFAD-D05FF17FA024}">
  <dimension ref="B1:G125"/>
  <sheetViews>
    <sheetView workbookViewId="0">
      <selection activeCell="N13" sqref="N13"/>
    </sheetView>
  </sheetViews>
  <sheetFormatPr defaultRowHeight="16.5" x14ac:dyDescent="0.3"/>
  <cols>
    <col min="2" max="7" width="15.625" customWidth="1"/>
  </cols>
  <sheetData>
    <row r="1" spans="2:7" ht="17.25" thickBot="1" x14ac:dyDescent="0.35"/>
    <row r="2" spans="2:7" ht="17.25" thickBot="1" x14ac:dyDescent="0.35">
      <c r="B2" s="57"/>
      <c r="C2" s="58"/>
      <c r="D2" s="58"/>
      <c r="E2" s="58"/>
      <c r="F2" s="58"/>
      <c r="G2" s="59"/>
    </row>
    <row r="3" spans="2:7" x14ac:dyDescent="0.3">
      <c r="B3" s="55" t="s">
        <v>35</v>
      </c>
      <c r="C3" s="53">
        <v>46007</v>
      </c>
      <c r="D3" s="53">
        <v>46008</v>
      </c>
      <c r="E3" s="54">
        <v>46010</v>
      </c>
      <c r="F3" s="15" t="s">
        <v>20</v>
      </c>
      <c r="G3" s="16" t="s">
        <v>21</v>
      </c>
    </row>
    <row r="4" spans="2:7" x14ac:dyDescent="0.3">
      <c r="B4" s="61"/>
      <c r="C4" s="6" t="s">
        <v>19</v>
      </c>
      <c r="D4" s="6" t="s">
        <v>19</v>
      </c>
      <c r="E4" s="11" t="s">
        <v>19</v>
      </c>
      <c r="F4" s="17" t="s">
        <v>19</v>
      </c>
      <c r="G4" s="11"/>
    </row>
    <row r="5" spans="2:7" x14ac:dyDescent="0.3">
      <c r="B5" s="2" t="s">
        <v>1</v>
      </c>
      <c r="C5" s="6">
        <v>2.1745893855344018</v>
      </c>
      <c r="D5" s="6">
        <v>2.1457190987577754</v>
      </c>
      <c r="E5" s="11">
        <v>1.8412166567080162</v>
      </c>
      <c r="F5" s="2">
        <f>AVERAGE(C5:E5)</f>
        <v>2.0538417136667309</v>
      </c>
      <c r="G5" s="11">
        <f>_xlfn.STDEV.P(C5:E5)</f>
        <v>0.15080989025848349</v>
      </c>
    </row>
    <row r="6" spans="2:7" x14ac:dyDescent="0.3">
      <c r="B6" s="2" t="s">
        <v>2</v>
      </c>
      <c r="C6" s="6">
        <v>2.21311182202568</v>
      </c>
      <c r="D6" s="6">
        <v>2.1510533680466186</v>
      </c>
      <c r="E6" s="11">
        <v>2.1030878035191258</v>
      </c>
      <c r="F6" s="2">
        <f t="shared" ref="F6:F17" si="0">AVERAGE(C6:E6)</f>
        <v>2.1557509978638083</v>
      </c>
      <c r="G6" s="11">
        <f t="shared" ref="G6:G17" si="1">_xlfn.STDEV.P(C6:E6)</f>
        <v>4.5039774692355018E-2</v>
      </c>
    </row>
    <row r="7" spans="2:7" x14ac:dyDescent="0.3">
      <c r="B7" s="2" t="s">
        <v>3</v>
      </c>
      <c r="C7" s="6">
        <v>0.2977083061631669</v>
      </c>
      <c r="D7" s="6">
        <v>0.28092953353196698</v>
      </c>
      <c r="E7" s="11">
        <v>3.5060101187729613E-2</v>
      </c>
      <c r="F7" s="2">
        <f t="shared" si="0"/>
        <v>0.20456598029428785</v>
      </c>
      <c r="G7" s="11">
        <f t="shared" si="1"/>
        <v>0.12005433239862053</v>
      </c>
    </row>
    <row r="8" spans="2:7" x14ac:dyDescent="0.3">
      <c r="B8" s="2" t="s">
        <v>4</v>
      </c>
      <c r="C8" s="6">
        <v>0.36880658293266427</v>
      </c>
      <c r="D8" s="6">
        <v>0.37102859110691555</v>
      </c>
      <c r="E8" s="11">
        <v>0.37481844360106875</v>
      </c>
      <c r="F8" s="2">
        <f t="shared" si="0"/>
        <v>0.37155120588021617</v>
      </c>
      <c r="G8" s="11">
        <f t="shared" si="1"/>
        <v>2.4819967532924299E-3</v>
      </c>
    </row>
    <row r="9" spans="2:7" x14ac:dyDescent="0.3">
      <c r="B9" s="2" t="s">
        <v>5</v>
      </c>
      <c r="C9" s="6">
        <v>0.39457799987933001</v>
      </c>
      <c r="D9" s="6">
        <v>0.39918910082687287</v>
      </c>
      <c r="E9" s="11">
        <v>0.37573313903381284</v>
      </c>
      <c r="F9" s="2">
        <f t="shared" si="0"/>
        <v>0.38983341324667187</v>
      </c>
      <c r="G9" s="11">
        <f t="shared" si="1"/>
        <v>1.0146554838810117E-2</v>
      </c>
    </row>
    <row r="10" spans="2:7" x14ac:dyDescent="0.3">
      <c r="B10" s="2" t="s">
        <v>6</v>
      </c>
      <c r="C10" s="6">
        <v>0.35056531257626528</v>
      </c>
      <c r="D10" s="6">
        <v>0.4062992959919437</v>
      </c>
      <c r="E10" s="11">
        <v>0.34813716106553566</v>
      </c>
      <c r="F10" s="2">
        <f t="shared" si="0"/>
        <v>0.36833392321124819</v>
      </c>
      <c r="G10" s="11">
        <f t="shared" si="1"/>
        <v>2.6863868271002286E-2</v>
      </c>
    </row>
    <row r="11" spans="2:7" x14ac:dyDescent="0.3">
      <c r="B11" s="2" t="s">
        <v>7</v>
      </c>
      <c r="C11" s="6">
        <v>0.17844381635208034</v>
      </c>
      <c r="D11" s="6">
        <v>0.20352470561984651</v>
      </c>
      <c r="E11" s="11">
        <v>0.15735402307333168</v>
      </c>
      <c r="F11" s="2">
        <f t="shared" si="0"/>
        <v>0.17977418168175285</v>
      </c>
      <c r="G11" s="11">
        <f t="shared" si="1"/>
        <v>1.8872561840505397E-2</v>
      </c>
    </row>
    <row r="12" spans="2:7" x14ac:dyDescent="0.3">
      <c r="B12" s="2" t="s">
        <v>8</v>
      </c>
      <c r="C12" s="6">
        <v>7.4389554874918343E-2</v>
      </c>
      <c r="D12" s="6">
        <v>7.3422711127852897E-2</v>
      </c>
      <c r="E12" s="11">
        <v>4.5121610952439883E-2</v>
      </c>
      <c r="F12" s="2">
        <f t="shared" si="0"/>
        <v>6.4311292318403712E-2</v>
      </c>
      <c r="G12" s="11">
        <f t="shared" si="1"/>
        <v>1.3574893490146274E-2</v>
      </c>
    </row>
    <row r="13" spans="2:7" x14ac:dyDescent="0.3">
      <c r="B13" s="2" t="s">
        <v>9</v>
      </c>
      <c r="C13" s="6">
        <v>1.9038984065542258E-2</v>
      </c>
      <c r="D13" s="6">
        <v>2.0542850453511674E-2</v>
      </c>
      <c r="E13" s="11">
        <v>1.3358422687987459E-2</v>
      </c>
      <c r="F13" s="2">
        <f t="shared" si="0"/>
        <v>1.7646752402347133E-2</v>
      </c>
      <c r="G13" s="11">
        <f t="shared" si="1"/>
        <v>3.0938360581982062E-3</v>
      </c>
    </row>
    <row r="14" spans="2:7" x14ac:dyDescent="0.3">
      <c r="B14" s="2" t="s">
        <v>10</v>
      </c>
      <c r="C14" s="6">
        <v>1.4876463617769058E-2</v>
      </c>
      <c r="D14" s="6">
        <v>1.3690491953947894E-2</v>
      </c>
      <c r="E14" s="11">
        <v>1.0315096062609148E-2</v>
      </c>
      <c r="F14" s="2">
        <f t="shared" si="0"/>
        <v>1.2960683878108699E-2</v>
      </c>
      <c r="G14" s="11">
        <f t="shared" si="1"/>
        <v>1.9323532051165754E-3</v>
      </c>
    </row>
    <row r="15" spans="2:7" x14ac:dyDescent="0.3">
      <c r="B15" s="2" t="s">
        <v>11</v>
      </c>
      <c r="C15" s="6">
        <v>3.036292292256022</v>
      </c>
      <c r="D15" s="6">
        <v>2.2305785067128285</v>
      </c>
      <c r="E15" s="11">
        <v>3.3042140217663585</v>
      </c>
      <c r="F15" s="2">
        <f t="shared" si="0"/>
        <v>2.8570282735784027</v>
      </c>
      <c r="G15" s="11">
        <f t="shared" si="1"/>
        <v>0.4562711153765226</v>
      </c>
    </row>
    <row r="16" spans="2:7" x14ac:dyDescent="0.3">
      <c r="B16" s="2" t="s">
        <v>12</v>
      </c>
      <c r="C16" s="6">
        <v>0.7375985168438538</v>
      </c>
      <c r="D16" s="6">
        <v>0.46863116113307146</v>
      </c>
      <c r="E16" s="11">
        <v>0.58294915583813078</v>
      </c>
      <c r="F16" s="2">
        <f t="shared" si="0"/>
        <v>0.59639294460501868</v>
      </c>
      <c r="G16" s="11">
        <f t="shared" si="1"/>
        <v>0.11021618514483018</v>
      </c>
    </row>
    <row r="17" spans="2:7" x14ac:dyDescent="0.3">
      <c r="B17" s="2" t="s">
        <v>13</v>
      </c>
      <c r="C17" s="6">
        <v>3.2352102717869098</v>
      </c>
      <c r="D17" s="6">
        <v>4.0200403723889639</v>
      </c>
      <c r="E17" s="11">
        <v>4.1312745467775915</v>
      </c>
      <c r="F17" s="2">
        <f t="shared" si="0"/>
        <v>3.7955083969844883</v>
      </c>
      <c r="G17" s="11">
        <f t="shared" si="1"/>
        <v>0.39878461372267904</v>
      </c>
    </row>
    <row r="18" spans="2:7" x14ac:dyDescent="0.3">
      <c r="B18" s="2"/>
      <c r="C18" s="6"/>
      <c r="D18" s="6"/>
      <c r="E18" s="11"/>
      <c r="F18" s="18"/>
      <c r="G18" s="19"/>
    </row>
    <row r="19" spans="2:7" ht="17.25" thickBot="1" x14ac:dyDescent="0.35">
      <c r="B19" s="4"/>
      <c r="C19" s="31"/>
      <c r="D19" s="31"/>
      <c r="E19" s="33"/>
      <c r="F19" s="4"/>
      <c r="G19" s="33"/>
    </row>
    <row r="20" spans="2:7" x14ac:dyDescent="0.3">
      <c r="B20" s="18" t="s">
        <v>14</v>
      </c>
      <c r="C20" s="27">
        <v>6.0861082280218186</v>
      </c>
      <c r="D20" s="27">
        <v>6.0653997474172519</v>
      </c>
      <c r="E20" s="29">
        <v>5.3042024578916562</v>
      </c>
      <c r="F20" s="30">
        <f>AVERAGE(C20:E20)</f>
        <v>5.8185701444435756</v>
      </c>
      <c r="G20" s="29">
        <f>_xlfn.STDEV.P(C20:E20)</f>
        <v>0.36381112134257942</v>
      </c>
    </row>
    <row r="21" spans="2:7" x14ac:dyDescent="0.3">
      <c r="B21" s="2" t="s">
        <v>15</v>
      </c>
      <c r="C21" s="7">
        <v>1.0318921313659051</v>
      </c>
      <c r="D21" s="7">
        <v>1.1166691559739756</v>
      </c>
      <c r="E21" s="12">
        <v>0.95001945287571676</v>
      </c>
      <c r="F21" s="20">
        <f>AVERAGE(C21:E21)</f>
        <v>1.0328602467385324</v>
      </c>
      <c r="G21" s="12">
        <f>_xlfn.STDEV.P(C21:E21)</f>
        <v>6.8037900326291159E-2</v>
      </c>
    </row>
    <row r="22" spans="2:7" x14ac:dyDescent="0.3">
      <c r="B22" s="3" t="s">
        <v>16</v>
      </c>
      <c r="C22" s="8">
        <v>16.954876461362293</v>
      </c>
      <c r="D22" s="8">
        <v>18.41047915183945</v>
      </c>
      <c r="E22" s="13">
        <v>17.910693651262623</v>
      </c>
      <c r="F22" s="21">
        <f>AVERAGE(C22:E22)</f>
        <v>17.758683088154786</v>
      </c>
      <c r="G22" s="12">
        <f>_xlfn.STDEV.P(C22:E22)</f>
        <v>0.60389028065444428</v>
      </c>
    </row>
    <row r="23" spans="2:7" x14ac:dyDescent="0.3">
      <c r="B23" s="2" t="s">
        <v>17</v>
      </c>
      <c r="C23" s="7">
        <v>9.1224005202778411</v>
      </c>
      <c r="D23" s="7">
        <v>8.2959782541300804</v>
      </c>
      <c r="E23" s="12">
        <v>8.6084164796580147</v>
      </c>
      <c r="F23" s="20">
        <f>AVERAGE(C23:E23)</f>
        <v>8.6755984180219787</v>
      </c>
      <c r="G23" s="12">
        <f>_xlfn.STDEV.P(C23:E23)</f>
        <v>0.34071346723011958</v>
      </c>
    </row>
    <row r="24" spans="2:7" x14ac:dyDescent="0.3">
      <c r="B24" s="2"/>
      <c r="C24" s="7"/>
      <c r="D24" s="7"/>
      <c r="E24" s="12"/>
      <c r="F24" s="20"/>
      <c r="G24" s="12"/>
    </row>
    <row r="25" spans="2:7" ht="17.25" thickBot="1" x14ac:dyDescent="0.35">
      <c r="B25" s="4" t="s">
        <v>18</v>
      </c>
      <c r="C25" s="9">
        <f>SUM(C5:C17)</f>
        <v>13.095209308908604</v>
      </c>
      <c r="D25" s="9">
        <f>SUM(D5:D17)</f>
        <v>12.784649787652116</v>
      </c>
      <c r="E25" s="14">
        <f>SUM(E5:E17)</f>
        <v>13.322640182273737</v>
      </c>
      <c r="F25" s="22">
        <f>AVERAGE(C25:E25)</f>
        <v>13.067499759611486</v>
      </c>
      <c r="G25" s="14">
        <f>_xlfn.STDEV.P(C25:E25)</f>
        <v>0.22050590395417088</v>
      </c>
    </row>
    <row r="26" spans="2:7" ht="17.25" thickBot="1" x14ac:dyDescent="0.35"/>
    <row r="27" spans="2:7" ht="17.25" thickBot="1" x14ac:dyDescent="0.35">
      <c r="B27" s="57"/>
      <c r="C27" s="58"/>
      <c r="D27" s="58"/>
      <c r="E27" s="58"/>
      <c r="F27" s="58"/>
      <c r="G27" s="59"/>
    </row>
    <row r="28" spans="2:7" x14ac:dyDescent="0.3">
      <c r="B28" s="62"/>
      <c r="C28" s="36"/>
      <c r="D28" s="36"/>
      <c r="E28" s="36"/>
      <c r="F28" s="15" t="s">
        <v>20</v>
      </c>
      <c r="G28" s="16" t="s">
        <v>21</v>
      </c>
    </row>
    <row r="29" spans="2:7" x14ac:dyDescent="0.3">
      <c r="B29" s="60"/>
      <c r="C29" s="23" t="s">
        <v>19</v>
      </c>
      <c r="D29" s="23" t="s">
        <v>19</v>
      </c>
      <c r="E29" s="24" t="s">
        <v>19</v>
      </c>
      <c r="F29" s="17" t="s">
        <v>19</v>
      </c>
      <c r="G29" s="11"/>
    </row>
    <row r="30" spans="2:7" x14ac:dyDescent="0.3">
      <c r="B30" s="2" t="s">
        <v>1</v>
      </c>
      <c r="C30" s="6"/>
      <c r="D30" s="6"/>
      <c r="E30" s="11"/>
      <c r="F30" s="2" t="e">
        <f>AVERAGE(C30:E30)</f>
        <v>#DIV/0!</v>
      </c>
      <c r="G30" s="11" t="e">
        <f>_xlfn.STDEV.P(C30:E30)</f>
        <v>#DIV/0!</v>
      </c>
    </row>
    <row r="31" spans="2:7" x14ac:dyDescent="0.3">
      <c r="B31" s="2" t="s">
        <v>2</v>
      </c>
      <c r="C31" s="6"/>
      <c r="D31" s="6"/>
      <c r="E31" s="11"/>
      <c r="F31" s="2" t="e">
        <f t="shared" ref="F31:F42" si="2">AVERAGE(C31:E31)</f>
        <v>#DIV/0!</v>
      </c>
      <c r="G31" s="11" t="e">
        <f t="shared" ref="G31:G42" si="3">_xlfn.STDEV.P(C31:E31)</f>
        <v>#DIV/0!</v>
      </c>
    </row>
    <row r="32" spans="2:7" x14ac:dyDescent="0.3">
      <c r="B32" s="2" t="s">
        <v>3</v>
      </c>
      <c r="C32" s="6"/>
      <c r="D32" s="6"/>
      <c r="E32" s="11"/>
      <c r="F32" s="2" t="e">
        <f t="shared" si="2"/>
        <v>#DIV/0!</v>
      </c>
      <c r="G32" s="11" t="e">
        <f t="shared" si="3"/>
        <v>#DIV/0!</v>
      </c>
    </row>
    <row r="33" spans="2:7" x14ac:dyDescent="0.3">
      <c r="B33" s="2" t="s">
        <v>4</v>
      </c>
      <c r="C33" s="6"/>
      <c r="D33" s="6"/>
      <c r="E33" s="11"/>
      <c r="F33" s="2" t="e">
        <f t="shared" si="2"/>
        <v>#DIV/0!</v>
      </c>
      <c r="G33" s="11" t="e">
        <f t="shared" si="3"/>
        <v>#DIV/0!</v>
      </c>
    </row>
    <row r="34" spans="2:7" x14ac:dyDescent="0.3">
      <c r="B34" s="2" t="s">
        <v>5</v>
      </c>
      <c r="C34" s="6"/>
      <c r="D34" s="6"/>
      <c r="E34" s="11"/>
      <c r="F34" s="2" t="e">
        <f t="shared" si="2"/>
        <v>#DIV/0!</v>
      </c>
      <c r="G34" s="11" t="e">
        <f t="shared" si="3"/>
        <v>#DIV/0!</v>
      </c>
    </row>
    <row r="35" spans="2:7" x14ac:dyDescent="0.3">
      <c r="B35" s="2" t="s">
        <v>6</v>
      </c>
      <c r="C35" s="6"/>
      <c r="D35" s="6"/>
      <c r="E35" s="11"/>
      <c r="F35" s="2" t="e">
        <f t="shared" si="2"/>
        <v>#DIV/0!</v>
      </c>
      <c r="G35" s="11" t="e">
        <f t="shared" si="3"/>
        <v>#DIV/0!</v>
      </c>
    </row>
    <row r="36" spans="2:7" x14ac:dyDescent="0.3">
      <c r="B36" s="2" t="s">
        <v>7</v>
      </c>
      <c r="C36" s="6"/>
      <c r="D36" s="6"/>
      <c r="E36" s="11"/>
      <c r="F36" s="2" t="e">
        <f t="shared" si="2"/>
        <v>#DIV/0!</v>
      </c>
      <c r="G36" s="11" t="e">
        <f t="shared" si="3"/>
        <v>#DIV/0!</v>
      </c>
    </row>
    <row r="37" spans="2:7" x14ac:dyDescent="0.3">
      <c r="B37" s="2" t="s">
        <v>8</v>
      </c>
      <c r="C37" s="6"/>
      <c r="D37" s="6"/>
      <c r="E37" s="11"/>
      <c r="F37" s="2" t="e">
        <f t="shared" si="2"/>
        <v>#DIV/0!</v>
      </c>
      <c r="G37" s="11" t="e">
        <f t="shared" si="3"/>
        <v>#DIV/0!</v>
      </c>
    </row>
    <row r="38" spans="2:7" x14ac:dyDescent="0.3">
      <c r="B38" s="2" t="s">
        <v>9</v>
      </c>
      <c r="C38" s="6"/>
      <c r="D38" s="6"/>
      <c r="E38" s="11"/>
      <c r="F38" s="2" t="e">
        <f t="shared" si="2"/>
        <v>#DIV/0!</v>
      </c>
      <c r="G38" s="11" t="e">
        <f t="shared" si="3"/>
        <v>#DIV/0!</v>
      </c>
    </row>
    <row r="39" spans="2:7" x14ac:dyDescent="0.3">
      <c r="B39" s="2" t="s">
        <v>10</v>
      </c>
      <c r="C39" s="6"/>
      <c r="D39" s="6"/>
      <c r="E39" s="11"/>
      <c r="F39" s="2" t="e">
        <f t="shared" si="2"/>
        <v>#DIV/0!</v>
      </c>
      <c r="G39" s="11" t="e">
        <f t="shared" si="3"/>
        <v>#DIV/0!</v>
      </c>
    </row>
    <row r="40" spans="2:7" x14ac:dyDescent="0.3">
      <c r="B40" s="2" t="s">
        <v>11</v>
      </c>
      <c r="C40" s="6"/>
      <c r="D40" s="6"/>
      <c r="E40" s="11"/>
      <c r="F40" s="2" t="e">
        <f t="shared" si="2"/>
        <v>#DIV/0!</v>
      </c>
      <c r="G40" s="11" t="e">
        <f t="shared" si="3"/>
        <v>#DIV/0!</v>
      </c>
    </row>
    <row r="41" spans="2:7" x14ac:dyDescent="0.3">
      <c r="B41" s="2" t="s">
        <v>12</v>
      </c>
      <c r="C41" s="6"/>
      <c r="D41" s="6"/>
      <c r="E41" s="11"/>
      <c r="F41" s="2" t="e">
        <f t="shared" si="2"/>
        <v>#DIV/0!</v>
      </c>
      <c r="G41" s="11" t="e">
        <f t="shared" si="3"/>
        <v>#DIV/0!</v>
      </c>
    </row>
    <row r="42" spans="2:7" x14ac:dyDescent="0.3">
      <c r="B42" s="2" t="s">
        <v>13</v>
      </c>
      <c r="C42" s="6"/>
      <c r="D42" s="6"/>
      <c r="E42" s="11"/>
      <c r="F42" s="2" t="e">
        <f t="shared" si="2"/>
        <v>#DIV/0!</v>
      </c>
      <c r="G42" s="11" t="e">
        <f t="shared" si="3"/>
        <v>#DIV/0!</v>
      </c>
    </row>
    <row r="43" spans="2:7" x14ac:dyDescent="0.3">
      <c r="B43" s="2"/>
      <c r="C43" s="6"/>
      <c r="D43" s="6"/>
      <c r="E43" s="11"/>
      <c r="F43" s="18"/>
      <c r="G43" s="19"/>
    </row>
    <row r="44" spans="2:7" ht="17.25" thickBot="1" x14ac:dyDescent="0.35">
      <c r="B44" s="4"/>
      <c r="C44" s="31"/>
      <c r="D44" s="32"/>
      <c r="E44" s="33"/>
      <c r="F44" s="4"/>
      <c r="G44" s="33"/>
    </row>
    <row r="45" spans="2:7" x14ac:dyDescent="0.3">
      <c r="B45" s="18" t="s">
        <v>14</v>
      </c>
      <c r="C45" s="27"/>
      <c r="D45" s="28"/>
      <c r="E45" s="29"/>
      <c r="F45" s="30" t="e">
        <f>AVERAGE(C45:E45)</f>
        <v>#DIV/0!</v>
      </c>
      <c r="G45" s="29" t="e">
        <f>_xlfn.STDEV.P(C45:E45)</f>
        <v>#DIV/0!</v>
      </c>
    </row>
    <row r="46" spans="2:7" x14ac:dyDescent="0.3">
      <c r="B46" s="2" t="s">
        <v>15</v>
      </c>
      <c r="C46" s="7"/>
      <c r="D46" s="25"/>
      <c r="E46" s="12"/>
      <c r="F46" s="20" t="e">
        <f>AVERAGE(C46:E46)</f>
        <v>#DIV/0!</v>
      </c>
      <c r="G46" s="12" t="e">
        <f>_xlfn.STDEV.P(C46:E46)</f>
        <v>#DIV/0!</v>
      </c>
    </row>
    <row r="47" spans="2:7" x14ac:dyDescent="0.3">
      <c r="B47" s="3" t="s">
        <v>16</v>
      </c>
      <c r="C47" s="8"/>
      <c r="D47" s="26"/>
      <c r="E47" s="13"/>
      <c r="F47" s="21" t="e">
        <f>AVERAGE(C47:E47)</f>
        <v>#DIV/0!</v>
      </c>
      <c r="G47" s="12" t="e">
        <f>_xlfn.STDEV.P(C47:E47)</f>
        <v>#DIV/0!</v>
      </c>
    </row>
    <row r="48" spans="2:7" x14ac:dyDescent="0.3">
      <c r="B48" s="2" t="s">
        <v>17</v>
      </c>
      <c r="C48" s="7"/>
      <c r="D48" s="25"/>
      <c r="E48" s="12"/>
      <c r="F48" s="20" t="e">
        <f>AVERAGE(C48:E48)</f>
        <v>#DIV/0!</v>
      </c>
      <c r="G48" s="12" t="e">
        <f>_xlfn.STDEV.P(C48:E48)</f>
        <v>#DIV/0!</v>
      </c>
    </row>
    <row r="49" spans="2:7" x14ac:dyDescent="0.3">
      <c r="B49" s="2"/>
      <c r="C49" s="7"/>
      <c r="D49" s="25"/>
      <c r="E49" s="12"/>
      <c r="F49" s="20"/>
      <c r="G49" s="12"/>
    </row>
    <row r="50" spans="2:7" ht="17.25" thickBot="1" x14ac:dyDescent="0.35">
      <c r="B50" s="4" t="s">
        <v>18</v>
      </c>
      <c r="C50" s="9">
        <v>13.669720393009879</v>
      </c>
      <c r="D50" s="9">
        <v>14.215070069744907</v>
      </c>
      <c r="E50" s="14">
        <v>14.256381036880267</v>
      </c>
      <c r="F50" s="22">
        <f>AVERAGE(C50:E50)</f>
        <v>14.047057166545017</v>
      </c>
      <c r="G50" s="14">
        <f>_xlfn.STDEV.P(C50:E50)</f>
        <v>0.26734987001785543</v>
      </c>
    </row>
    <row r="51" spans="2:7" ht="17.25" thickBot="1" x14ac:dyDescent="0.35"/>
    <row r="52" spans="2:7" ht="17.25" thickBot="1" x14ac:dyDescent="0.35">
      <c r="B52" s="57"/>
      <c r="C52" s="58"/>
      <c r="D52" s="58"/>
      <c r="E52" s="58"/>
      <c r="F52" s="58"/>
      <c r="G52" s="59"/>
    </row>
    <row r="53" spans="2:7" x14ac:dyDescent="0.3">
      <c r="B53" s="55"/>
      <c r="C53" s="34"/>
      <c r="D53" s="34"/>
      <c r="E53" s="35"/>
      <c r="F53" s="15" t="s">
        <v>20</v>
      </c>
      <c r="G53" s="16" t="s">
        <v>21</v>
      </c>
    </row>
    <row r="54" spans="2:7" x14ac:dyDescent="0.3">
      <c r="B54" s="61"/>
      <c r="C54" s="6" t="s">
        <v>19</v>
      </c>
      <c r="D54" s="6" t="s">
        <v>19</v>
      </c>
      <c r="E54" s="11" t="s">
        <v>19</v>
      </c>
      <c r="F54" s="17" t="s">
        <v>19</v>
      </c>
      <c r="G54" s="11"/>
    </row>
    <row r="55" spans="2:7" x14ac:dyDescent="0.3">
      <c r="B55" s="2" t="s">
        <v>1</v>
      </c>
      <c r="C55" s="6"/>
      <c r="D55" s="6"/>
      <c r="E55" s="11"/>
      <c r="F55" s="2" t="e">
        <f>AVERAGE(C55:E55)</f>
        <v>#DIV/0!</v>
      </c>
      <c r="G55" s="11" t="e">
        <f>_xlfn.STDEV.P(C55:E55)</f>
        <v>#DIV/0!</v>
      </c>
    </row>
    <row r="56" spans="2:7" x14ac:dyDescent="0.3">
      <c r="B56" s="2" t="s">
        <v>2</v>
      </c>
      <c r="C56" s="6"/>
      <c r="D56" s="6"/>
      <c r="E56" s="11"/>
      <c r="F56" s="2" t="e">
        <f t="shared" ref="F56:F67" si="4">AVERAGE(C56:E56)</f>
        <v>#DIV/0!</v>
      </c>
      <c r="G56" s="11" t="e">
        <f t="shared" ref="G56:G67" si="5">_xlfn.STDEV.P(C56:E56)</f>
        <v>#DIV/0!</v>
      </c>
    </row>
    <row r="57" spans="2:7" x14ac:dyDescent="0.3">
      <c r="B57" s="2" t="s">
        <v>3</v>
      </c>
      <c r="C57" s="6"/>
      <c r="D57" s="6"/>
      <c r="E57" s="11"/>
      <c r="F57" s="2" t="e">
        <f t="shared" si="4"/>
        <v>#DIV/0!</v>
      </c>
      <c r="G57" s="11" t="e">
        <f t="shared" si="5"/>
        <v>#DIV/0!</v>
      </c>
    </row>
    <row r="58" spans="2:7" x14ac:dyDescent="0.3">
      <c r="B58" s="2" t="s">
        <v>4</v>
      </c>
      <c r="C58" s="6"/>
      <c r="D58" s="6"/>
      <c r="E58" s="11"/>
      <c r="F58" s="2" t="e">
        <f t="shared" si="4"/>
        <v>#DIV/0!</v>
      </c>
      <c r="G58" s="11" t="e">
        <f t="shared" si="5"/>
        <v>#DIV/0!</v>
      </c>
    </row>
    <row r="59" spans="2:7" x14ac:dyDescent="0.3">
      <c r="B59" s="2" t="s">
        <v>5</v>
      </c>
      <c r="C59" s="6"/>
      <c r="D59" s="6"/>
      <c r="E59" s="11"/>
      <c r="F59" s="2" t="e">
        <f t="shared" si="4"/>
        <v>#DIV/0!</v>
      </c>
      <c r="G59" s="11" t="e">
        <f t="shared" si="5"/>
        <v>#DIV/0!</v>
      </c>
    </row>
    <row r="60" spans="2:7" x14ac:dyDescent="0.3">
      <c r="B60" s="2" t="s">
        <v>6</v>
      </c>
      <c r="C60" s="6"/>
      <c r="D60" s="6"/>
      <c r="E60" s="11"/>
      <c r="F60" s="2" t="e">
        <f t="shared" si="4"/>
        <v>#DIV/0!</v>
      </c>
      <c r="G60" s="11" t="e">
        <f t="shared" si="5"/>
        <v>#DIV/0!</v>
      </c>
    </row>
    <row r="61" spans="2:7" x14ac:dyDescent="0.3">
      <c r="B61" s="2" t="s">
        <v>7</v>
      </c>
      <c r="C61" s="6"/>
      <c r="D61" s="6"/>
      <c r="E61" s="11"/>
      <c r="F61" s="2" t="e">
        <f t="shared" si="4"/>
        <v>#DIV/0!</v>
      </c>
      <c r="G61" s="11" t="e">
        <f t="shared" si="5"/>
        <v>#DIV/0!</v>
      </c>
    </row>
    <row r="62" spans="2:7" x14ac:dyDescent="0.3">
      <c r="B62" s="2" t="s">
        <v>8</v>
      </c>
      <c r="C62" s="6"/>
      <c r="D62" s="6"/>
      <c r="E62" s="11"/>
      <c r="F62" s="2" t="e">
        <f t="shared" si="4"/>
        <v>#DIV/0!</v>
      </c>
      <c r="G62" s="11" t="e">
        <f t="shared" si="5"/>
        <v>#DIV/0!</v>
      </c>
    </row>
    <row r="63" spans="2:7" x14ac:dyDescent="0.3">
      <c r="B63" s="2" t="s">
        <v>9</v>
      </c>
      <c r="C63" s="6"/>
      <c r="D63" s="6"/>
      <c r="E63" s="11"/>
      <c r="F63" s="2" t="e">
        <f t="shared" si="4"/>
        <v>#DIV/0!</v>
      </c>
      <c r="G63" s="11" t="e">
        <f t="shared" si="5"/>
        <v>#DIV/0!</v>
      </c>
    </row>
    <row r="64" spans="2:7" x14ac:dyDescent="0.3">
      <c r="B64" s="2" t="s">
        <v>10</v>
      </c>
      <c r="C64" s="6"/>
      <c r="D64" s="6"/>
      <c r="E64" s="11"/>
      <c r="F64" s="2" t="e">
        <f t="shared" si="4"/>
        <v>#DIV/0!</v>
      </c>
      <c r="G64" s="11" t="e">
        <f t="shared" si="5"/>
        <v>#DIV/0!</v>
      </c>
    </row>
    <row r="65" spans="2:7" x14ac:dyDescent="0.3">
      <c r="B65" s="2" t="s">
        <v>11</v>
      </c>
      <c r="C65" s="6"/>
      <c r="D65" s="6"/>
      <c r="E65" s="11"/>
      <c r="F65" s="2" t="e">
        <f t="shared" si="4"/>
        <v>#DIV/0!</v>
      </c>
      <c r="G65" s="11" t="e">
        <f t="shared" si="5"/>
        <v>#DIV/0!</v>
      </c>
    </row>
    <row r="66" spans="2:7" x14ac:dyDescent="0.3">
      <c r="B66" s="2" t="s">
        <v>12</v>
      </c>
      <c r="C66" s="6"/>
      <c r="D66" s="6"/>
      <c r="E66" s="11"/>
      <c r="F66" s="2" t="e">
        <f t="shared" si="4"/>
        <v>#DIV/0!</v>
      </c>
      <c r="G66" s="11" t="e">
        <f t="shared" si="5"/>
        <v>#DIV/0!</v>
      </c>
    </row>
    <row r="67" spans="2:7" x14ac:dyDescent="0.3">
      <c r="B67" s="2" t="s">
        <v>13</v>
      </c>
      <c r="C67" s="6"/>
      <c r="D67" s="6"/>
      <c r="E67" s="11"/>
      <c r="F67" s="2" t="e">
        <f t="shared" si="4"/>
        <v>#DIV/0!</v>
      </c>
      <c r="G67" s="11" t="e">
        <f t="shared" si="5"/>
        <v>#DIV/0!</v>
      </c>
    </row>
    <row r="68" spans="2:7" x14ac:dyDescent="0.3">
      <c r="B68" s="2"/>
      <c r="C68" s="6"/>
      <c r="D68" s="6"/>
      <c r="E68" s="11"/>
      <c r="F68" s="18"/>
      <c r="G68" s="19"/>
    </row>
    <row r="69" spans="2:7" ht="17.25" thickBot="1" x14ac:dyDescent="0.35">
      <c r="B69" s="4"/>
      <c r="C69" s="31"/>
      <c r="D69" s="31"/>
      <c r="E69" s="33"/>
      <c r="F69" s="4"/>
      <c r="G69" s="33"/>
    </row>
    <row r="70" spans="2:7" x14ac:dyDescent="0.3">
      <c r="B70" s="18" t="s">
        <v>14</v>
      </c>
      <c r="C70" s="27"/>
      <c r="D70" s="27"/>
      <c r="E70" s="29"/>
      <c r="F70" s="30" t="e">
        <f>AVERAGE(C70:E70)</f>
        <v>#DIV/0!</v>
      </c>
      <c r="G70" s="29" t="e">
        <f>_xlfn.STDEV.P(C70:E70)</f>
        <v>#DIV/0!</v>
      </c>
    </row>
    <row r="71" spans="2:7" x14ac:dyDescent="0.3">
      <c r="B71" s="2" t="s">
        <v>15</v>
      </c>
      <c r="C71" s="7"/>
      <c r="D71" s="7"/>
      <c r="E71" s="12"/>
      <c r="F71" s="20" t="e">
        <f>AVERAGE(C71:E71)</f>
        <v>#DIV/0!</v>
      </c>
      <c r="G71" s="12" t="e">
        <f>_xlfn.STDEV.P(C71:E71)</f>
        <v>#DIV/0!</v>
      </c>
    </row>
    <row r="72" spans="2:7" x14ac:dyDescent="0.3">
      <c r="B72" s="3" t="s">
        <v>16</v>
      </c>
      <c r="C72" s="8"/>
      <c r="D72" s="8"/>
      <c r="E72" s="13"/>
      <c r="F72" s="21" t="e">
        <f>AVERAGE(C72:E72)</f>
        <v>#DIV/0!</v>
      </c>
      <c r="G72" s="12" t="e">
        <f>_xlfn.STDEV.P(C72:E72)</f>
        <v>#DIV/0!</v>
      </c>
    </row>
    <row r="73" spans="2:7" x14ac:dyDescent="0.3">
      <c r="B73" s="2" t="s">
        <v>17</v>
      </c>
      <c r="C73" s="7"/>
      <c r="D73" s="7"/>
      <c r="E73" s="12"/>
      <c r="F73" s="20" t="e">
        <f>AVERAGE(C73:E73)</f>
        <v>#DIV/0!</v>
      </c>
      <c r="G73" s="12" t="e">
        <f>_xlfn.STDEV.P(C73:E73)</f>
        <v>#DIV/0!</v>
      </c>
    </row>
    <row r="74" spans="2:7" x14ac:dyDescent="0.3">
      <c r="B74" s="2"/>
      <c r="C74" s="7"/>
      <c r="D74" s="7"/>
      <c r="E74" s="12"/>
      <c r="F74" s="20"/>
      <c r="G74" s="12"/>
    </row>
    <row r="75" spans="2:7" ht="17.25" thickBot="1" x14ac:dyDescent="0.35">
      <c r="B75" s="4" t="s">
        <v>18</v>
      </c>
      <c r="C75" s="9">
        <f>SUM(C55:C67)</f>
        <v>0</v>
      </c>
      <c r="D75" s="9">
        <f>SUM(D55:D67)</f>
        <v>0</v>
      </c>
      <c r="E75" s="14">
        <f>SUM(E55:E67)</f>
        <v>0</v>
      </c>
      <c r="F75" s="22">
        <f>AVERAGE(C75:E75)</f>
        <v>0</v>
      </c>
      <c r="G75" s="14">
        <f>_xlfn.STDEV.P(C75:E75)</f>
        <v>0</v>
      </c>
    </row>
    <row r="77" spans="2:7" ht="17.25" thickBot="1" x14ac:dyDescent="0.35"/>
    <row r="78" spans="2:7" x14ac:dyDescent="0.3">
      <c r="B78" s="55" t="s">
        <v>33</v>
      </c>
      <c r="C78" s="34" t="s">
        <v>28</v>
      </c>
      <c r="D78" s="34" t="s">
        <v>30</v>
      </c>
      <c r="E78" s="34" t="s">
        <v>32</v>
      </c>
    </row>
    <row r="79" spans="2:7" ht="17.25" thickBot="1" x14ac:dyDescent="0.35">
      <c r="B79" s="56"/>
      <c r="C79" s="31" t="s">
        <v>19</v>
      </c>
      <c r="D79" s="31" t="s">
        <v>19</v>
      </c>
      <c r="E79" s="31" t="s">
        <v>19</v>
      </c>
    </row>
    <row r="80" spans="2:7" x14ac:dyDescent="0.3">
      <c r="B80" s="18" t="s">
        <v>1</v>
      </c>
      <c r="C80" s="46"/>
      <c r="D80" s="46"/>
      <c r="E80" s="46"/>
    </row>
    <row r="81" spans="2:5" x14ac:dyDescent="0.3">
      <c r="B81" s="2" t="s">
        <v>2</v>
      </c>
      <c r="C81" s="6"/>
      <c r="D81" s="6"/>
      <c r="E81" s="6"/>
    </row>
    <row r="82" spans="2:5" x14ac:dyDescent="0.3">
      <c r="B82" s="2" t="s">
        <v>3</v>
      </c>
      <c r="C82" s="6"/>
      <c r="D82" s="6"/>
      <c r="E82" s="6"/>
    </row>
    <row r="83" spans="2:5" x14ac:dyDescent="0.3">
      <c r="B83" s="2" t="s">
        <v>4</v>
      </c>
      <c r="C83" s="6"/>
      <c r="D83" s="6"/>
      <c r="E83" s="6"/>
    </row>
    <row r="84" spans="2:5" x14ac:dyDescent="0.3">
      <c r="B84" s="2" t="s">
        <v>5</v>
      </c>
      <c r="C84" s="6"/>
      <c r="D84" s="6"/>
      <c r="E84" s="6"/>
    </row>
    <row r="85" spans="2:5" x14ac:dyDescent="0.3">
      <c r="B85" s="2" t="s">
        <v>6</v>
      </c>
      <c r="C85" s="6"/>
      <c r="D85" s="6"/>
      <c r="E85" s="6"/>
    </row>
    <row r="86" spans="2:5" x14ac:dyDescent="0.3">
      <c r="B86" s="2" t="s">
        <v>7</v>
      </c>
      <c r="C86" s="6"/>
      <c r="D86" s="6"/>
      <c r="E86" s="6"/>
    </row>
    <row r="87" spans="2:5" x14ac:dyDescent="0.3">
      <c r="B87" s="2" t="s">
        <v>8</v>
      </c>
      <c r="C87" s="6"/>
      <c r="D87" s="6"/>
      <c r="E87" s="6"/>
    </row>
    <row r="88" spans="2:5" x14ac:dyDescent="0.3">
      <c r="B88" s="2" t="s">
        <v>9</v>
      </c>
      <c r="C88" s="6"/>
      <c r="D88" s="6"/>
      <c r="E88" s="6"/>
    </row>
    <row r="89" spans="2:5" x14ac:dyDescent="0.3">
      <c r="B89" s="2" t="s">
        <v>10</v>
      </c>
      <c r="C89" s="6"/>
      <c r="D89" s="6"/>
      <c r="E89" s="6"/>
    </row>
    <row r="90" spans="2:5" x14ac:dyDescent="0.3">
      <c r="B90" s="2" t="s">
        <v>11</v>
      </c>
      <c r="C90" s="6"/>
      <c r="D90" s="6"/>
      <c r="E90" s="6"/>
    </row>
    <row r="91" spans="2:5" x14ac:dyDescent="0.3">
      <c r="B91" s="2" t="s">
        <v>12</v>
      </c>
      <c r="C91" s="6"/>
      <c r="D91" s="6"/>
      <c r="E91" s="6"/>
    </row>
    <row r="92" spans="2:5" ht="17.25" thickBot="1" x14ac:dyDescent="0.35">
      <c r="B92" s="4" t="s">
        <v>13</v>
      </c>
      <c r="C92" s="31"/>
      <c r="D92" s="31"/>
      <c r="E92" s="31"/>
    </row>
    <row r="93" spans="2:5" ht="17.25" thickBot="1" x14ac:dyDescent="0.35">
      <c r="B93" s="47"/>
      <c r="C93" s="48"/>
      <c r="D93" s="48"/>
      <c r="E93" s="48"/>
    </row>
    <row r="94" spans="2:5" ht="17.25" thickBot="1" x14ac:dyDescent="0.35">
      <c r="B94" s="50"/>
      <c r="C94" s="51" t="s">
        <v>27</v>
      </c>
      <c r="D94" s="51" t="s">
        <v>29</v>
      </c>
      <c r="E94" s="51" t="s">
        <v>31</v>
      </c>
    </row>
    <row r="95" spans="2:5" x14ac:dyDescent="0.3">
      <c r="B95" s="18" t="s">
        <v>14</v>
      </c>
      <c r="C95" s="27"/>
      <c r="D95" s="27"/>
      <c r="E95" s="27"/>
    </row>
    <row r="96" spans="2:5" x14ac:dyDescent="0.3">
      <c r="B96" s="2" t="s">
        <v>15</v>
      </c>
      <c r="C96" s="7"/>
      <c r="D96" s="7"/>
      <c r="E96" s="7"/>
    </row>
    <row r="97" spans="2:5" x14ac:dyDescent="0.3">
      <c r="B97" s="3" t="s">
        <v>16</v>
      </c>
      <c r="C97" s="8"/>
      <c r="D97" s="8"/>
      <c r="E97" s="8"/>
    </row>
    <row r="98" spans="2:5" x14ac:dyDescent="0.3">
      <c r="B98" s="2" t="s">
        <v>17</v>
      </c>
      <c r="C98" s="7"/>
      <c r="D98" s="7"/>
      <c r="E98" s="7"/>
    </row>
    <row r="99" spans="2:5" x14ac:dyDescent="0.3">
      <c r="B99" s="2"/>
      <c r="C99" s="7"/>
      <c r="D99" s="7"/>
      <c r="E99" s="7"/>
    </row>
    <row r="100" spans="2:5" ht="17.25" thickBot="1" x14ac:dyDescent="0.35">
      <c r="B100" s="4" t="s">
        <v>18</v>
      </c>
      <c r="C100" s="9">
        <v>13.980135071448364</v>
      </c>
      <c r="D100" s="9">
        <v>14.047057166545017</v>
      </c>
      <c r="E100" s="9">
        <v>13.663815786374519</v>
      </c>
    </row>
    <row r="102" spans="2:5" ht="17.25" thickBot="1" x14ac:dyDescent="0.35"/>
    <row r="103" spans="2:5" x14ac:dyDescent="0.3">
      <c r="B103" s="55" t="s">
        <v>34</v>
      </c>
      <c r="C103" s="34" t="s">
        <v>27</v>
      </c>
      <c r="D103" s="34" t="s">
        <v>29</v>
      </c>
      <c r="E103" s="34" t="s">
        <v>31</v>
      </c>
    </row>
    <row r="104" spans="2:5" ht="17.25" thickBot="1" x14ac:dyDescent="0.35">
      <c r="B104" s="56"/>
      <c r="C104" s="31"/>
      <c r="D104" s="31"/>
      <c r="E104" s="31"/>
    </row>
    <row r="105" spans="2:5" x14ac:dyDescent="0.3">
      <c r="B105" s="1" t="s">
        <v>1</v>
      </c>
      <c r="C105" s="5"/>
      <c r="D105" s="5"/>
      <c r="E105" s="5"/>
    </row>
    <row r="106" spans="2:5" x14ac:dyDescent="0.3">
      <c r="B106" s="2" t="s">
        <v>2</v>
      </c>
      <c r="C106" s="6"/>
      <c r="D106" s="6"/>
      <c r="E106" s="6"/>
    </row>
    <row r="107" spans="2:5" x14ac:dyDescent="0.3">
      <c r="B107" s="2" t="s">
        <v>3</v>
      </c>
      <c r="C107" s="6"/>
      <c r="D107" s="6"/>
      <c r="E107" s="6"/>
    </row>
    <row r="108" spans="2:5" x14ac:dyDescent="0.3">
      <c r="B108" s="2" t="s">
        <v>4</v>
      </c>
      <c r="C108" s="6"/>
      <c r="D108" s="6"/>
      <c r="E108" s="6"/>
    </row>
    <row r="109" spans="2:5" x14ac:dyDescent="0.3">
      <c r="B109" s="2" t="s">
        <v>5</v>
      </c>
      <c r="C109" s="6"/>
      <c r="D109" s="6"/>
      <c r="E109" s="6"/>
    </row>
    <row r="110" spans="2:5" x14ac:dyDescent="0.3">
      <c r="B110" s="2" t="s">
        <v>6</v>
      </c>
      <c r="C110" s="6"/>
      <c r="D110" s="6"/>
      <c r="E110" s="6"/>
    </row>
    <row r="111" spans="2:5" x14ac:dyDescent="0.3">
      <c r="B111" s="2" t="s">
        <v>7</v>
      </c>
      <c r="C111" s="6"/>
      <c r="D111" s="6"/>
      <c r="E111" s="6"/>
    </row>
    <row r="112" spans="2:5" x14ac:dyDescent="0.3">
      <c r="B112" s="2" t="s">
        <v>8</v>
      </c>
      <c r="C112" s="6"/>
      <c r="D112" s="6"/>
      <c r="E112" s="6"/>
    </row>
    <row r="113" spans="2:5" x14ac:dyDescent="0.3">
      <c r="B113" s="2" t="s">
        <v>9</v>
      </c>
      <c r="C113" s="6"/>
      <c r="D113" s="6"/>
      <c r="E113" s="6"/>
    </row>
    <row r="114" spans="2:5" x14ac:dyDescent="0.3">
      <c r="B114" s="2" t="s">
        <v>10</v>
      </c>
      <c r="C114" s="6"/>
      <c r="D114" s="6"/>
      <c r="E114" s="6"/>
    </row>
    <row r="115" spans="2:5" x14ac:dyDescent="0.3">
      <c r="B115" s="2" t="s">
        <v>11</v>
      </c>
      <c r="C115" s="6"/>
      <c r="D115" s="6"/>
      <c r="E115" s="6"/>
    </row>
    <row r="116" spans="2:5" x14ac:dyDescent="0.3">
      <c r="B116" s="2" t="s">
        <v>12</v>
      </c>
      <c r="C116" s="6"/>
      <c r="D116" s="6"/>
      <c r="E116" s="6"/>
    </row>
    <row r="117" spans="2:5" ht="17.25" thickBot="1" x14ac:dyDescent="0.35">
      <c r="B117" s="4" t="s">
        <v>13</v>
      </c>
      <c r="C117" s="31"/>
      <c r="D117" s="31"/>
      <c r="E117" s="31"/>
    </row>
    <row r="118" spans="2:5" ht="17.25" thickBot="1" x14ac:dyDescent="0.35">
      <c r="B118" s="47"/>
      <c r="C118" s="48"/>
      <c r="D118" s="48"/>
      <c r="E118" s="48"/>
    </row>
    <row r="119" spans="2:5" ht="17.25" thickBot="1" x14ac:dyDescent="0.35">
      <c r="B119" s="50"/>
      <c r="C119" s="51" t="s">
        <v>27</v>
      </c>
      <c r="D119" s="51" t="s">
        <v>29</v>
      </c>
      <c r="E119" s="51" t="s">
        <v>31</v>
      </c>
    </row>
    <row r="120" spans="2:5" x14ac:dyDescent="0.3">
      <c r="B120" s="18" t="s">
        <v>14</v>
      </c>
      <c r="C120" s="27"/>
      <c r="D120" s="27"/>
      <c r="E120" s="27"/>
    </row>
    <row r="121" spans="2:5" x14ac:dyDescent="0.3">
      <c r="B121" s="2" t="s">
        <v>15</v>
      </c>
      <c r="C121" s="7"/>
      <c r="D121" s="7"/>
      <c r="E121" s="7"/>
    </row>
    <row r="122" spans="2:5" x14ac:dyDescent="0.3">
      <c r="B122" s="3" t="s">
        <v>16</v>
      </c>
      <c r="C122" s="7"/>
      <c r="D122" s="7"/>
      <c r="E122" s="7"/>
    </row>
    <row r="123" spans="2:5" x14ac:dyDescent="0.3">
      <c r="B123" s="2" t="s">
        <v>17</v>
      </c>
      <c r="C123" s="7"/>
      <c r="D123" s="7"/>
      <c r="E123" s="7"/>
    </row>
    <row r="124" spans="2:5" x14ac:dyDescent="0.3">
      <c r="B124" s="2"/>
      <c r="C124" s="7"/>
      <c r="D124" s="7"/>
      <c r="E124" s="7"/>
    </row>
    <row r="125" spans="2:5" ht="17.25" thickBot="1" x14ac:dyDescent="0.35">
      <c r="B125" s="4" t="s">
        <v>18</v>
      </c>
      <c r="C125" s="9">
        <v>9.3187516895579345E-2</v>
      </c>
      <c r="D125" s="9">
        <v>0.26734987001785543</v>
      </c>
      <c r="E125" s="9">
        <v>0.45462816298999875</v>
      </c>
    </row>
  </sheetData>
  <mergeCells count="8">
    <mergeCell ref="B78:B79"/>
    <mergeCell ref="B103:B104"/>
    <mergeCell ref="B2:G2"/>
    <mergeCell ref="B3:B4"/>
    <mergeCell ref="B27:G27"/>
    <mergeCell ref="B28:B29"/>
    <mergeCell ref="B52:G52"/>
    <mergeCell ref="B53:B54"/>
  </mergeCells>
  <phoneticPr fontId="1" type="noConversion"/>
  <conditionalFormatting sqref="C30:C31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{422AD6E4-7244-41C7-97C6-56F0A5AACDAC}</x14:id>
        </ext>
      </extLst>
    </cfRule>
  </conditionalFormatting>
  <conditionalFormatting sqref="C32:C3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{13C039BB-70E5-41DC-9007-32260FA70221}</x14:id>
        </ext>
      </extLst>
    </cfRule>
  </conditionalFormatting>
  <conditionalFormatting sqref="C80:C81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{EE439DCC-A695-4DD5-823D-60ECBFEBFDAF}</x14:id>
        </ext>
      </extLst>
    </cfRule>
  </conditionalFormatting>
  <conditionalFormatting sqref="C82:C8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{0172573A-2A7F-49EF-B37B-4FD39D17AC7C}</x14:id>
        </ext>
      </extLst>
    </cfRule>
  </conditionalFormatting>
  <conditionalFormatting sqref="C5:E6">
    <cfRule type="dataBar" priority="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{5931024F-372D-4C17-B983-9AFBDEC683EF}</x14:id>
        </ext>
      </extLst>
    </cfRule>
  </conditionalFormatting>
  <conditionalFormatting sqref="C7:E14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{AFED0956-E301-4A24-84B6-2BCD4D6EA680}</x14:id>
        </ext>
      </extLst>
    </cfRule>
  </conditionalFormatting>
  <conditionalFormatting sqref="C55:E5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{7DF55671-70B1-47D5-A637-54790347850D}</x14:id>
        </ext>
      </extLst>
    </cfRule>
  </conditionalFormatting>
  <conditionalFormatting sqref="C57:E64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{061FCA9E-E1AA-4DFB-A98A-753041747125}</x14:id>
        </ext>
      </extLst>
    </cfRule>
  </conditionalFormatting>
  <conditionalFormatting sqref="D30:D31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{460D1EA9-B485-42A5-B847-66BE02AC155F}</x14:id>
        </ext>
      </extLst>
    </cfRule>
  </conditionalFormatting>
  <conditionalFormatting sqref="D32:D3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{54A2DEDF-0B90-4D2C-8D32-00DA390016F5}</x14:id>
        </ext>
      </extLst>
    </cfRule>
  </conditionalFormatting>
  <conditionalFormatting sqref="D80:D81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{EE9C3AE6-5E66-4560-A6B8-A3A2DFFDA4AA}</x14:id>
        </ext>
      </extLst>
    </cfRule>
  </conditionalFormatting>
  <conditionalFormatting sqref="D82:D8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{249D6D92-F1E5-4F55-9E81-7A8E29F73930}</x14:id>
        </ext>
      </extLst>
    </cfRule>
  </conditionalFormatting>
  <conditionalFormatting sqref="E30:E31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{9B84C932-7BD6-4865-A1AA-AC2D5668ABA2}</x14:id>
        </ext>
      </extLst>
    </cfRule>
  </conditionalFormatting>
  <conditionalFormatting sqref="E32:E3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{DF98C2F7-5ECC-42CD-81E6-5B837C34AFC2}</x14:id>
        </ext>
      </extLst>
    </cfRule>
  </conditionalFormatting>
  <conditionalFormatting sqref="E80:E8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{EDB691E7-AC99-4F70-A8F6-4DDFB128AD35}</x14:id>
        </ext>
      </extLst>
    </cfRule>
  </conditionalFormatting>
  <conditionalFormatting sqref="E82:E8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{E6C246A5-8E94-45A9-812B-A662A24C4EBD}</x14:id>
        </ext>
      </extLst>
    </cfRule>
  </conditionalFormatting>
  <conditionalFormatting sqref="F5:F14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{2E61982F-7241-4BB7-9AFF-C5D593377396}</x14:id>
        </ext>
      </extLst>
    </cfRule>
  </conditionalFormatting>
  <conditionalFormatting sqref="F7:F14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{12548132-C017-42AF-B908-2BE8F7D20571}</x14:id>
        </ext>
      </extLst>
    </cfRule>
  </conditionalFormatting>
  <conditionalFormatting sqref="F30:F39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{4C305CB0-6BA9-424A-A73A-DCABB4ED43F4}</x14:id>
        </ext>
      </extLst>
    </cfRule>
  </conditionalFormatting>
  <conditionalFormatting sqref="F32:F3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{55E1C7E1-0D4B-4F26-A99D-C41E30A4BF79}</x14:id>
        </ext>
      </extLst>
    </cfRule>
  </conditionalFormatting>
  <conditionalFormatting sqref="F55:F64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{4A6EB388-A0DC-43A6-919C-A0CCF0F4B25E}</x14:id>
        </ext>
      </extLst>
    </cfRule>
  </conditionalFormatting>
  <conditionalFormatting sqref="F57:F64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{941D4528-F039-4E91-B155-B702D2C73B23}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2AD6E4-7244-41C7-97C6-56F0A5AACDA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C30:C31</xm:sqref>
        </x14:conditionalFormatting>
        <x14:conditionalFormatting xmlns:xm="http://schemas.microsoft.com/office/excel/2006/main">
          <x14:cfRule type="dataBar" id="{13C039BB-70E5-41DC-9007-32260FA702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C32:C39</xm:sqref>
        </x14:conditionalFormatting>
        <x14:conditionalFormatting xmlns:xm="http://schemas.microsoft.com/office/excel/2006/main">
          <x14:cfRule type="dataBar" id="{EE439DCC-A695-4DD5-823D-60ECBFEBFDA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C80:C81</xm:sqref>
        </x14:conditionalFormatting>
        <x14:conditionalFormatting xmlns:xm="http://schemas.microsoft.com/office/excel/2006/main">
          <x14:cfRule type="dataBar" id="{0172573A-2A7F-49EF-B37B-4FD39D17AC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C82:C89</xm:sqref>
        </x14:conditionalFormatting>
        <x14:conditionalFormatting xmlns:xm="http://schemas.microsoft.com/office/excel/2006/main">
          <x14:cfRule type="dataBar" id="{5931024F-372D-4C17-B983-9AFBDEC683E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C5:E6</xm:sqref>
        </x14:conditionalFormatting>
        <x14:conditionalFormatting xmlns:xm="http://schemas.microsoft.com/office/excel/2006/main">
          <x14:cfRule type="dataBar" id="{AFED0956-E301-4A24-84B6-2BCD4D6EA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C7:E14</xm:sqref>
        </x14:conditionalFormatting>
        <x14:conditionalFormatting xmlns:xm="http://schemas.microsoft.com/office/excel/2006/main">
          <x14:cfRule type="dataBar" id="{7DF55671-70B1-47D5-A637-54790347850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C55:E56</xm:sqref>
        </x14:conditionalFormatting>
        <x14:conditionalFormatting xmlns:xm="http://schemas.microsoft.com/office/excel/2006/main">
          <x14:cfRule type="dataBar" id="{061FCA9E-E1AA-4DFB-A98A-7530417471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C57:E64</xm:sqref>
        </x14:conditionalFormatting>
        <x14:conditionalFormatting xmlns:xm="http://schemas.microsoft.com/office/excel/2006/main">
          <x14:cfRule type="dataBar" id="{460D1EA9-B485-42A5-B847-66BE02AC155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D30:D31</xm:sqref>
        </x14:conditionalFormatting>
        <x14:conditionalFormatting xmlns:xm="http://schemas.microsoft.com/office/excel/2006/main">
          <x14:cfRule type="dataBar" id="{54A2DEDF-0B90-4D2C-8D32-00DA390016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D32:D39</xm:sqref>
        </x14:conditionalFormatting>
        <x14:conditionalFormatting xmlns:xm="http://schemas.microsoft.com/office/excel/2006/main">
          <x14:cfRule type="dataBar" id="{EE9C3AE6-5E66-4560-A6B8-A3A2DFFDA4A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D80:D81</xm:sqref>
        </x14:conditionalFormatting>
        <x14:conditionalFormatting xmlns:xm="http://schemas.microsoft.com/office/excel/2006/main">
          <x14:cfRule type="dataBar" id="{249D6D92-F1E5-4F55-9E81-7A8E29F739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D82:D89</xm:sqref>
        </x14:conditionalFormatting>
        <x14:conditionalFormatting xmlns:xm="http://schemas.microsoft.com/office/excel/2006/main">
          <x14:cfRule type="dataBar" id="{9B84C932-7BD6-4865-A1AA-AC2D5668ABA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E30:E31</xm:sqref>
        </x14:conditionalFormatting>
        <x14:conditionalFormatting xmlns:xm="http://schemas.microsoft.com/office/excel/2006/main">
          <x14:cfRule type="dataBar" id="{DF98C2F7-5ECC-42CD-81E6-5B837C34AF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E32:E39</xm:sqref>
        </x14:conditionalFormatting>
        <x14:conditionalFormatting xmlns:xm="http://schemas.microsoft.com/office/excel/2006/main">
          <x14:cfRule type="dataBar" id="{EDB691E7-AC99-4F70-A8F6-4DDFB128AD3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E80:E81</xm:sqref>
        </x14:conditionalFormatting>
        <x14:conditionalFormatting xmlns:xm="http://schemas.microsoft.com/office/excel/2006/main">
          <x14:cfRule type="dataBar" id="{E6C246A5-8E94-45A9-812B-A662A24C4E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E82:E89</xm:sqref>
        </x14:conditionalFormatting>
        <x14:conditionalFormatting xmlns:xm="http://schemas.microsoft.com/office/excel/2006/main">
          <x14:cfRule type="dataBar" id="{2E61982F-7241-4BB7-9AFF-C5D59337739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F5:F14</xm:sqref>
        </x14:conditionalFormatting>
        <x14:conditionalFormatting xmlns:xm="http://schemas.microsoft.com/office/excel/2006/main">
          <x14:cfRule type="dataBar" id="{12548132-C017-42AF-B908-2BE8F7D205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F7:F14</xm:sqref>
        </x14:conditionalFormatting>
        <x14:conditionalFormatting xmlns:xm="http://schemas.microsoft.com/office/excel/2006/main">
          <x14:cfRule type="dataBar" id="{4C305CB0-6BA9-424A-A73A-DCABB4ED43F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F30:F39</xm:sqref>
        </x14:conditionalFormatting>
        <x14:conditionalFormatting xmlns:xm="http://schemas.microsoft.com/office/excel/2006/main">
          <x14:cfRule type="dataBar" id="{55E1C7E1-0D4B-4F26-A99D-C41E30A4BF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F32:F39</xm:sqref>
        </x14:conditionalFormatting>
        <x14:conditionalFormatting xmlns:xm="http://schemas.microsoft.com/office/excel/2006/main">
          <x14:cfRule type="dataBar" id="{4A6EB388-A0DC-43A6-919C-A0CCF0F4B25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F55:F64</xm:sqref>
        </x14:conditionalFormatting>
        <x14:conditionalFormatting xmlns:xm="http://schemas.microsoft.com/office/excel/2006/main">
          <x14:cfRule type="dataBar" id="{941D4528-F039-4E91-B155-B702D2C73B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F57:F64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718A5-153A-46A1-882A-E1CB30727067}">
  <dimension ref="B1:G150"/>
  <sheetViews>
    <sheetView tabSelected="1" topLeftCell="A96" zoomScaleNormal="100" workbookViewId="0">
      <selection activeCell="H107" sqref="H107"/>
    </sheetView>
  </sheetViews>
  <sheetFormatPr defaultRowHeight="16.5" x14ac:dyDescent="0.3"/>
  <cols>
    <col min="2" max="60" width="15.625" customWidth="1"/>
  </cols>
  <sheetData>
    <row r="1" spans="2:7" ht="17.25" thickBot="1" x14ac:dyDescent="0.35"/>
    <row r="2" spans="2:7" ht="17.25" thickBot="1" x14ac:dyDescent="0.35">
      <c r="B2" s="57"/>
      <c r="C2" s="58"/>
      <c r="D2" s="58"/>
      <c r="E2" s="58"/>
      <c r="F2" s="58"/>
      <c r="G2" s="59"/>
    </row>
    <row r="3" spans="2:7" ht="16.5" customHeight="1" x14ac:dyDescent="0.3">
      <c r="B3" s="55" t="s">
        <v>0</v>
      </c>
      <c r="C3" s="34">
        <v>46050</v>
      </c>
      <c r="D3" s="34">
        <v>46073</v>
      </c>
      <c r="E3" s="35">
        <v>46085</v>
      </c>
      <c r="F3" s="15" t="s">
        <v>20</v>
      </c>
      <c r="G3" s="16" t="s">
        <v>21</v>
      </c>
    </row>
    <row r="4" spans="2:7" x14ac:dyDescent="0.3">
      <c r="B4" s="61"/>
      <c r="C4" s="6" t="s">
        <v>19</v>
      </c>
      <c r="D4" s="6" t="s">
        <v>19</v>
      </c>
      <c r="E4" s="11" t="s">
        <v>19</v>
      </c>
      <c r="F4" s="17" t="s">
        <v>19</v>
      </c>
      <c r="G4" s="11"/>
    </row>
    <row r="5" spans="2:7" x14ac:dyDescent="0.3">
      <c r="B5" s="2" t="s">
        <v>1</v>
      </c>
      <c r="C5" s="6">
        <v>3.2737517104414491</v>
      </c>
      <c r="D5" s="6">
        <v>3.4396052942740245</v>
      </c>
      <c r="E5" s="11">
        <v>3.1112390136157009</v>
      </c>
      <c r="F5" s="2">
        <f>AVERAGE(C5:E5)</f>
        <v>3.2748653394437248</v>
      </c>
      <c r="G5" s="11">
        <f>_xlfn.STDEV.P(C5:E5)</f>
        <v>0.13405728550514334</v>
      </c>
    </row>
    <row r="6" spans="2:7" x14ac:dyDescent="0.3">
      <c r="B6" s="2" t="s">
        <v>2</v>
      </c>
      <c r="C6" s="6">
        <v>2.4346929669815331</v>
      </c>
      <c r="D6" s="6">
        <v>2.88594006555422</v>
      </c>
      <c r="E6" s="11">
        <v>2.4487812015835688</v>
      </c>
      <c r="F6" s="2">
        <f t="shared" ref="F6:F17" si="0">AVERAGE(C6:E6)</f>
        <v>2.5898047447064405</v>
      </c>
      <c r="G6" s="11">
        <f t="shared" ref="G6:G17" si="1">_xlfn.STDEV.P(C6:E6)</f>
        <v>0.20947826582371007</v>
      </c>
    </row>
    <row r="7" spans="2:7" x14ac:dyDescent="0.3">
      <c r="B7" s="2" t="s">
        <v>3</v>
      </c>
      <c r="C7" s="6">
        <v>0.27138691699418854</v>
      </c>
      <c r="D7" s="6">
        <v>0.3104052657377514</v>
      </c>
      <c r="E7" s="11">
        <v>0.28081319729250109</v>
      </c>
      <c r="F7" s="2">
        <f t="shared" si="0"/>
        <v>0.28753512667481368</v>
      </c>
      <c r="G7" s="11">
        <f t="shared" si="1"/>
        <v>1.6623199363824268E-2</v>
      </c>
    </row>
    <row r="8" spans="2:7" x14ac:dyDescent="0.3">
      <c r="B8" s="2" t="s">
        <v>4</v>
      </c>
      <c r="C8" s="6">
        <v>0.27877776808714055</v>
      </c>
      <c r="D8" s="6">
        <v>0.35157621989898885</v>
      </c>
      <c r="E8" s="11">
        <v>0.33318686932923841</v>
      </c>
      <c r="F8" s="2">
        <f t="shared" si="0"/>
        <v>0.32118028577178931</v>
      </c>
      <c r="G8" s="11">
        <f t="shared" si="1"/>
        <v>3.0908706250202984E-2</v>
      </c>
    </row>
    <row r="9" spans="2:7" x14ac:dyDescent="0.3">
      <c r="B9" s="2" t="s">
        <v>5</v>
      </c>
      <c r="C9" s="6">
        <v>0.18650654072692974</v>
      </c>
      <c r="D9" s="6">
        <v>0.24711915644228019</v>
      </c>
      <c r="E9" s="11">
        <v>0.23234168911948555</v>
      </c>
      <c r="F9" s="2">
        <f t="shared" si="0"/>
        <v>0.22198912876289847</v>
      </c>
      <c r="G9" s="11">
        <f t="shared" si="1"/>
        <v>2.5805088973776515E-2</v>
      </c>
    </row>
    <row r="10" spans="2:7" x14ac:dyDescent="0.3">
      <c r="B10" s="2" t="s">
        <v>6</v>
      </c>
      <c r="C10" s="6">
        <v>0.1841288225859565</v>
      </c>
      <c r="D10" s="6">
        <v>0.2683115664039753</v>
      </c>
      <c r="E10" s="11">
        <v>0.25404480257284323</v>
      </c>
      <c r="F10" s="2">
        <f t="shared" si="0"/>
        <v>0.23549506385425834</v>
      </c>
      <c r="G10" s="11">
        <f t="shared" si="1"/>
        <v>3.6785442719263907E-2</v>
      </c>
    </row>
    <row r="11" spans="2:7" x14ac:dyDescent="0.3">
      <c r="B11" s="2" t="s">
        <v>7</v>
      </c>
      <c r="C11" s="6">
        <v>0.12770623642915546</v>
      </c>
      <c r="D11" s="6">
        <v>0.18014598632994563</v>
      </c>
      <c r="E11" s="11">
        <v>0.15558245033888976</v>
      </c>
      <c r="F11" s="2">
        <f t="shared" si="0"/>
        <v>0.15447822436599692</v>
      </c>
      <c r="G11" s="11">
        <f t="shared" si="1"/>
        <v>2.1422672237044804E-2</v>
      </c>
    </row>
    <row r="12" spans="2:7" x14ac:dyDescent="0.3">
      <c r="B12" s="2" t="s">
        <v>8</v>
      </c>
      <c r="C12" s="6">
        <v>4.7583291379357365E-2</v>
      </c>
      <c r="D12" s="6">
        <v>7.1632239004328052E-2</v>
      </c>
      <c r="E12" s="11">
        <v>7.5656898908402034E-2</v>
      </c>
      <c r="F12" s="2">
        <f t="shared" si="0"/>
        <v>6.4957476430695812E-2</v>
      </c>
      <c r="G12" s="11">
        <f t="shared" si="1"/>
        <v>1.2394789267658152E-2</v>
      </c>
    </row>
    <row r="13" spans="2:7" x14ac:dyDescent="0.3">
      <c r="B13" s="2" t="s">
        <v>9</v>
      </c>
      <c r="C13" s="6">
        <v>1.8956351736607542E-2</v>
      </c>
      <c r="D13" s="6">
        <v>2.2350017037393099E-2</v>
      </c>
      <c r="E13" s="11">
        <v>2.4311073646825533E-2</v>
      </c>
      <c r="F13" s="2">
        <f t="shared" si="0"/>
        <v>2.1872480806942058E-2</v>
      </c>
      <c r="G13" s="11">
        <f t="shared" si="1"/>
        <v>2.2119813625627129E-3</v>
      </c>
    </row>
    <row r="14" spans="2:7" x14ac:dyDescent="0.3">
      <c r="B14" s="2" t="s">
        <v>10</v>
      </c>
      <c r="C14" s="6">
        <v>1.2062764569748082E-2</v>
      </c>
      <c r="D14" s="6">
        <v>1.1692616534672455E-2</v>
      </c>
      <c r="E14" s="11">
        <v>1.2281857487635129E-2</v>
      </c>
      <c r="F14" s="2">
        <f t="shared" si="0"/>
        <v>1.2012412864018556E-2</v>
      </c>
      <c r="G14" s="11">
        <f t="shared" si="1"/>
        <v>2.4317715882938044E-4</v>
      </c>
    </row>
    <row r="15" spans="2:7" x14ac:dyDescent="0.3">
      <c r="B15" s="2" t="s">
        <v>11</v>
      </c>
      <c r="C15" s="6">
        <v>2.5363453878899715</v>
      </c>
      <c r="D15" s="6">
        <v>2.2410325637885649</v>
      </c>
      <c r="E15" s="11">
        <v>2.4061820053823273</v>
      </c>
      <c r="F15" s="2">
        <f t="shared" si="0"/>
        <v>2.3945199856869546</v>
      </c>
      <c r="G15" s="11">
        <f t="shared" si="1"/>
        <v>0.12084264712762775</v>
      </c>
    </row>
    <row r="16" spans="2:7" x14ac:dyDescent="0.3">
      <c r="B16" s="2" t="s">
        <v>12</v>
      </c>
      <c r="C16" s="6">
        <v>0.38923955244304453</v>
      </c>
      <c r="D16" s="6">
        <v>0.6589120303609628</v>
      </c>
      <c r="E16" s="11">
        <v>0.56664178296907475</v>
      </c>
      <c r="F16" s="2">
        <f t="shared" si="0"/>
        <v>0.53826445525769406</v>
      </c>
      <c r="G16" s="11">
        <f t="shared" si="1"/>
        <v>0.11190700270798304</v>
      </c>
    </row>
    <row r="17" spans="2:7" x14ac:dyDescent="0.3">
      <c r="B17" s="2" t="s">
        <v>13</v>
      </c>
      <c r="C17" s="6">
        <v>4.1642131020486577</v>
      </c>
      <c r="D17" s="6">
        <v>3.4226062542679014</v>
      </c>
      <c r="E17" s="11">
        <v>4.0026616841498566</v>
      </c>
      <c r="F17" s="2">
        <f t="shared" si="0"/>
        <v>3.8631603468221383</v>
      </c>
      <c r="G17" s="11">
        <f t="shared" si="1"/>
        <v>0.31842387526272142</v>
      </c>
    </row>
    <row r="18" spans="2:7" x14ac:dyDescent="0.3">
      <c r="B18" s="2"/>
      <c r="C18" s="6"/>
      <c r="D18" s="6"/>
      <c r="E18" s="11"/>
      <c r="F18" s="18"/>
      <c r="G18" s="19"/>
    </row>
    <row r="19" spans="2:7" ht="17.25" thickBot="1" x14ac:dyDescent="0.35">
      <c r="B19" s="4"/>
      <c r="C19" s="31"/>
      <c r="D19" s="31"/>
      <c r="E19" s="33"/>
      <c r="F19" s="4"/>
      <c r="G19" s="33"/>
    </row>
    <row r="20" spans="2:7" x14ac:dyDescent="0.3">
      <c r="B20" s="18" t="s">
        <v>14</v>
      </c>
      <c r="C20" s="27">
        <v>6.8355533699320645</v>
      </c>
      <c r="D20" s="27">
        <v>7.7887784272175784</v>
      </c>
      <c r="E20" s="29">
        <v>6.9282390538950906</v>
      </c>
      <c r="F20" s="30">
        <f>AVERAGE(C20:E20)</f>
        <v>7.1841902836815779</v>
      </c>
      <c r="G20" s="29">
        <f>_xlfn.STDEV.P(C20:E20)</f>
        <v>0.42917966438400768</v>
      </c>
    </row>
    <row r="21" spans="2:7" x14ac:dyDescent="0.3">
      <c r="B21" s="2" t="s">
        <v>15</v>
      </c>
      <c r="C21" s="7">
        <v>0.57694400742775476</v>
      </c>
      <c r="D21" s="7">
        <v>0.8012515817525947</v>
      </c>
      <c r="E21" s="12">
        <v>0.75421877207408117</v>
      </c>
      <c r="F21" s="20">
        <f>AVERAGE(C21:E21)</f>
        <v>0.71080478708481021</v>
      </c>
      <c r="G21" s="12">
        <f>_xlfn.STDEV.P(C21:E21)</f>
        <v>9.6581753088113495E-2</v>
      </c>
    </row>
    <row r="22" spans="2:7" x14ac:dyDescent="0.3">
      <c r="B22" s="3" t="s">
        <v>16</v>
      </c>
      <c r="C22" s="8">
        <v>8.440340908836891</v>
      </c>
      <c r="D22" s="8">
        <v>10.287256072822059</v>
      </c>
      <c r="E22" s="13">
        <v>10.886153988148772</v>
      </c>
      <c r="F22" s="21">
        <f>AVERAGE(C22:E22)</f>
        <v>9.8712503232692388</v>
      </c>
      <c r="G22" s="12">
        <f>_xlfn.STDEV.P(C22:E22)</f>
        <v>1.0409277888752444</v>
      </c>
    </row>
    <row r="23" spans="2:7" x14ac:dyDescent="0.3">
      <c r="B23" s="2" t="s">
        <v>17</v>
      </c>
      <c r="C23" s="7">
        <v>9.3718987578220361</v>
      </c>
      <c r="D23" s="7">
        <v>10.029810991006144</v>
      </c>
      <c r="E23" s="12">
        <v>9.3344210592774175</v>
      </c>
      <c r="F23" s="20">
        <f>AVERAGE(C23:E23)</f>
        <v>9.5787102693685338</v>
      </c>
      <c r="G23" s="12">
        <f>_xlfn.STDEV.P(C23:E23)</f>
        <v>0.3193431177365299</v>
      </c>
    </row>
    <row r="24" spans="2:7" x14ac:dyDescent="0.3">
      <c r="B24" s="2"/>
      <c r="C24" s="7"/>
      <c r="D24" s="7"/>
      <c r="E24" s="12"/>
      <c r="F24" s="20"/>
      <c r="G24" s="12"/>
    </row>
    <row r="25" spans="2:7" ht="17.25" thickBot="1" x14ac:dyDescent="0.35">
      <c r="B25" s="4" t="s">
        <v>18</v>
      </c>
      <c r="C25" s="9">
        <f>SUM(C5:C17)</f>
        <v>13.925351412313738</v>
      </c>
      <c r="D25" s="9">
        <f>SUM(D5:D17)</f>
        <v>14.111329275635008</v>
      </c>
      <c r="E25" s="14">
        <f>SUM(E5:E17)</f>
        <v>13.903724526396349</v>
      </c>
      <c r="F25" s="22">
        <f>AVERAGE(C25:E25)</f>
        <v>13.980135071448364</v>
      </c>
      <c r="G25" s="14">
        <f>_xlfn.STDEV.P(C25:E25)</f>
        <v>9.3187516895579345E-2</v>
      </c>
    </row>
    <row r="26" spans="2:7" ht="17.25" thickBot="1" x14ac:dyDescent="0.35"/>
    <row r="27" spans="2:7" ht="17.25" thickBot="1" x14ac:dyDescent="0.35">
      <c r="B27" s="57"/>
      <c r="C27" s="58"/>
      <c r="D27" s="58"/>
      <c r="E27" s="58"/>
      <c r="F27" s="58"/>
      <c r="G27" s="59"/>
    </row>
    <row r="28" spans="2:7" ht="16.5" customHeight="1" x14ac:dyDescent="0.3">
      <c r="B28" s="62" t="s">
        <v>23</v>
      </c>
      <c r="C28" s="36">
        <v>46000</v>
      </c>
      <c r="D28" s="36">
        <v>46002</v>
      </c>
      <c r="E28" s="36">
        <v>46015</v>
      </c>
      <c r="F28" s="15" t="s">
        <v>20</v>
      </c>
      <c r="G28" s="16" t="s">
        <v>21</v>
      </c>
    </row>
    <row r="29" spans="2:7" x14ac:dyDescent="0.3">
      <c r="B29" s="60"/>
      <c r="C29" s="23" t="s">
        <v>19</v>
      </c>
      <c r="D29" s="23" t="s">
        <v>19</v>
      </c>
      <c r="E29" s="24" t="s">
        <v>19</v>
      </c>
      <c r="F29" s="17" t="s">
        <v>19</v>
      </c>
      <c r="G29" s="11"/>
    </row>
    <row r="30" spans="2:7" x14ac:dyDescent="0.3">
      <c r="B30" s="2" t="s">
        <v>1</v>
      </c>
      <c r="C30" s="6">
        <v>3.5221492160664742</v>
      </c>
      <c r="D30" s="6">
        <v>2.9846914342283037</v>
      </c>
      <c r="E30" s="11">
        <v>3.2754290312225569</v>
      </c>
      <c r="F30" s="2">
        <f>AVERAGE(C30:E30)</f>
        <v>3.260756560505778</v>
      </c>
      <c r="G30" s="11">
        <f>_xlfn.STDEV.P(C30:E30)</f>
        <v>0.2196613725143054</v>
      </c>
    </row>
    <row r="31" spans="2:7" x14ac:dyDescent="0.3">
      <c r="B31" s="2" t="s">
        <v>2</v>
      </c>
      <c r="C31" s="6">
        <v>2.6265090090854208</v>
      </c>
      <c r="D31" s="6">
        <v>2.8076558035695425</v>
      </c>
      <c r="E31" s="11">
        <v>2.7457047436190014</v>
      </c>
      <c r="F31" s="2">
        <f t="shared" ref="F31:F42" si="2">AVERAGE(C31:E31)</f>
        <v>2.7266231854246548</v>
      </c>
      <c r="G31" s="11">
        <f t="shared" ref="G31:G42" si="3">_xlfn.STDEV.P(C31:E31)</f>
        <v>7.5173664206339905E-2</v>
      </c>
    </row>
    <row r="32" spans="2:7" x14ac:dyDescent="0.3">
      <c r="B32" s="2" t="s">
        <v>3</v>
      </c>
      <c r="C32" s="6">
        <v>0.33162847470387791</v>
      </c>
      <c r="D32" s="6">
        <v>0.37868074375337302</v>
      </c>
      <c r="E32" s="11">
        <v>0.2693894615613372</v>
      </c>
      <c r="F32" s="2">
        <f t="shared" si="2"/>
        <v>0.32656622667286267</v>
      </c>
      <c r="G32" s="11">
        <f t="shared" si="3"/>
        <v>4.4761336419879408E-2</v>
      </c>
    </row>
    <row r="33" spans="2:7" x14ac:dyDescent="0.3">
      <c r="B33" s="2" t="s">
        <v>4</v>
      </c>
      <c r="C33" s="6">
        <v>0.35735516309638082</v>
      </c>
      <c r="D33" s="6">
        <v>0.41853210057019946</v>
      </c>
      <c r="E33" s="11">
        <v>0.33913342210870079</v>
      </c>
      <c r="F33" s="2">
        <f t="shared" si="2"/>
        <v>0.37167356192509371</v>
      </c>
      <c r="G33" s="11">
        <f t="shared" si="3"/>
        <v>3.3958798016828939E-2</v>
      </c>
    </row>
    <row r="34" spans="2:7" x14ac:dyDescent="0.3">
      <c r="B34" s="2" t="s">
        <v>5</v>
      </c>
      <c r="C34" s="6">
        <v>0.27642227422777405</v>
      </c>
      <c r="D34" s="6">
        <v>0.31474470546666183</v>
      </c>
      <c r="E34" s="11">
        <v>0.2437222712455768</v>
      </c>
      <c r="F34" s="2">
        <f t="shared" si="2"/>
        <v>0.27829641698000424</v>
      </c>
      <c r="G34" s="11">
        <f t="shared" si="3"/>
        <v>2.9025056404928334E-2</v>
      </c>
    </row>
    <row r="35" spans="2:7" x14ac:dyDescent="0.3">
      <c r="B35" s="2" t="s">
        <v>6</v>
      </c>
      <c r="C35" s="6">
        <v>0.2830051064396944</v>
      </c>
      <c r="D35" s="6">
        <v>0.34481076359033774</v>
      </c>
      <c r="E35" s="11">
        <v>0.26620697943411881</v>
      </c>
      <c r="F35" s="2">
        <f t="shared" si="2"/>
        <v>0.2980076164880503</v>
      </c>
      <c r="G35" s="11">
        <f t="shared" si="3"/>
        <v>3.3797881607507574E-2</v>
      </c>
    </row>
    <row r="36" spans="2:7" x14ac:dyDescent="0.3">
      <c r="B36" s="2" t="s">
        <v>7</v>
      </c>
      <c r="C36" s="6">
        <v>0.19251091163743836</v>
      </c>
      <c r="D36" s="6">
        <v>0.21544787520696057</v>
      </c>
      <c r="E36" s="11">
        <v>0.18524805140722006</v>
      </c>
      <c r="F36" s="2">
        <f t="shared" si="2"/>
        <v>0.19773561275053964</v>
      </c>
      <c r="G36" s="11">
        <f t="shared" si="3"/>
        <v>1.2870650480188763E-2</v>
      </c>
    </row>
    <row r="37" spans="2:7" x14ac:dyDescent="0.3">
      <c r="B37" s="2" t="s">
        <v>8</v>
      </c>
      <c r="C37" s="6">
        <v>7.1768874587623738E-2</v>
      </c>
      <c r="D37" s="6">
        <v>8.2443599530337031E-2</v>
      </c>
      <c r="E37" s="11">
        <v>7.2063985048266471E-2</v>
      </c>
      <c r="F37" s="2">
        <f t="shared" si="2"/>
        <v>7.5425486388742413E-2</v>
      </c>
      <c r="G37" s="11">
        <f t="shared" si="3"/>
        <v>4.9640176334069357E-3</v>
      </c>
    </row>
    <row r="38" spans="2:7" x14ac:dyDescent="0.3">
      <c r="B38" s="2" t="s">
        <v>9</v>
      </c>
      <c r="C38" s="6">
        <v>1.9330454643843108E-2</v>
      </c>
      <c r="D38" s="6">
        <v>1.9111396724824734E-2</v>
      </c>
      <c r="E38" s="11">
        <v>2.2234485771906655E-2</v>
      </c>
      <c r="F38" s="2">
        <f t="shared" si="2"/>
        <v>2.0225445713524835E-2</v>
      </c>
      <c r="G38" s="11">
        <f t="shared" si="3"/>
        <v>1.4234179662835726E-3</v>
      </c>
    </row>
    <row r="39" spans="2:7" x14ac:dyDescent="0.3">
      <c r="B39" s="2" t="s">
        <v>10</v>
      </c>
      <c r="C39" s="6">
        <v>1.2503925309359301E-2</v>
      </c>
      <c r="D39" s="6">
        <v>1.8745553550595772E-2</v>
      </c>
      <c r="E39" s="11">
        <v>1.3836192244229646E-2</v>
      </c>
      <c r="F39" s="2">
        <f t="shared" si="2"/>
        <v>1.5028557034728239E-2</v>
      </c>
      <c r="G39" s="11">
        <f t="shared" si="3"/>
        <v>2.6839996424075441E-3</v>
      </c>
    </row>
    <row r="40" spans="2:7" x14ac:dyDescent="0.3">
      <c r="B40" s="2" t="s">
        <v>11</v>
      </c>
      <c r="C40" s="6">
        <v>2.9894617760384334</v>
      </c>
      <c r="D40" s="6">
        <v>2.8733212502461454</v>
      </c>
      <c r="E40" s="11">
        <v>2.7793140440009321</v>
      </c>
      <c r="F40" s="2">
        <f t="shared" si="2"/>
        <v>2.8806990234285035</v>
      </c>
      <c r="G40" s="11">
        <f t="shared" si="3"/>
        <v>8.5950919998854056E-2</v>
      </c>
    </row>
    <row r="41" spans="2:7" x14ac:dyDescent="0.3">
      <c r="B41" s="2" t="s">
        <v>12</v>
      </c>
      <c r="C41" s="6">
        <v>0.43374754373555613</v>
      </c>
      <c r="D41" s="6">
        <v>0.7447028321989877</v>
      </c>
      <c r="E41" s="11">
        <v>0.63729179422862048</v>
      </c>
      <c r="F41" s="2">
        <f t="shared" si="2"/>
        <v>0.6052473900543881</v>
      </c>
      <c r="G41" s="11">
        <f t="shared" si="3"/>
        <v>0.12895330094005666</v>
      </c>
    </row>
    <row r="42" spans="2:7" x14ac:dyDescent="0.3">
      <c r="B42" s="2" t="s">
        <v>13</v>
      </c>
      <c r="C42" s="6">
        <v>2.5533276634380009</v>
      </c>
      <c r="D42" s="6">
        <v>3.0121820111086395</v>
      </c>
      <c r="E42" s="11">
        <v>3.4068065749878018</v>
      </c>
      <c r="F42" s="2">
        <f t="shared" si="2"/>
        <v>2.9907720831781472</v>
      </c>
      <c r="G42" s="11">
        <f t="shared" si="3"/>
        <v>0.34876004346403144</v>
      </c>
    </row>
    <row r="43" spans="2:7" x14ac:dyDescent="0.3">
      <c r="B43" s="2"/>
      <c r="C43" s="6"/>
      <c r="D43" s="6"/>
      <c r="E43" s="11"/>
      <c r="F43" s="18"/>
      <c r="G43" s="19"/>
    </row>
    <row r="44" spans="2:7" ht="17.25" thickBot="1" x14ac:dyDescent="0.35">
      <c r="B44" s="4"/>
      <c r="C44" s="31"/>
      <c r="D44" s="32"/>
      <c r="E44" s="33"/>
      <c r="F44" s="4"/>
      <c r="G44" s="33"/>
    </row>
    <row r="45" spans="2:7" x14ac:dyDescent="0.3">
      <c r="B45" s="18" t="s">
        <v>14</v>
      </c>
      <c r="C45" s="27">
        <v>7.6931834097978875</v>
      </c>
      <c r="D45" s="28">
        <v>7.5848639761911363</v>
      </c>
      <c r="E45" s="29">
        <v>7.4329686236629149</v>
      </c>
      <c r="F45" s="30">
        <f>AVERAGE(C45:E45)</f>
        <v>7.5703386698839799</v>
      </c>
      <c r="G45" s="29">
        <f>_xlfn.STDEV.P(C45:E45)</f>
        <v>0.1067276038124</v>
      </c>
    </row>
    <row r="46" spans="2:7" x14ac:dyDescent="0.3">
      <c r="B46" s="2" t="s">
        <v>15</v>
      </c>
      <c r="C46" s="7">
        <v>0.85554154684573291</v>
      </c>
      <c r="D46" s="25">
        <v>0.99530389406971775</v>
      </c>
      <c r="E46" s="12">
        <v>0.80331196515131842</v>
      </c>
      <c r="F46" s="20">
        <f>AVERAGE(C46:E46)</f>
        <v>0.88471913535558977</v>
      </c>
      <c r="G46" s="12">
        <f>_xlfn.STDEV.P(C46:E46)</f>
        <v>8.1050288693254396E-2</v>
      </c>
    </row>
    <row r="47" spans="2:7" x14ac:dyDescent="0.3">
      <c r="B47" s="3" t="s">
        <v>16</v>
      </c>
      <c r="C47" s="8">
        <v>11.120774083666483</v>
      </c>
      <c r="D47" s="26">
        <v>13.122237883157476</v>
      </c>
      <c r="E47" s="13">
        <v>10.807417679579171</v>
      </c>
      <c r="F47" s="21">
        <f>AVERAGE(C47:E47)</f>
        <v>11.683476548801044</v>
      </c>
      <c r="G47" s="12">
        <f>_xlfn.STDEV.P(C47:E47)</f>
        <v>1.0253694267352169</v>
      </c>
    </row>
    <row r="48" spans="2:7" x14ac:dyDescent="0.3">
      <c r="B48" s="2" t="s">
        <v>17</v>
      </c>
      <c r="C48" s="7">
        <v>10.682645185836321</v>
      </c>
      <c r="D48" s="25">
        <v>10.458185226437282</v>
      </c>
      <c r="E48" s="12">
        <v>10.212282667663846</v>
      </c>
      <c r="F48" s="20">
        <f>AVERAGE(C48:E48)</f>
        <v>10.451037693312482</v>
      </c>
      <c r="G48" s="12">
        <f>_xlfn.STDEV.P(C48:E48)</f>
        <v>0.19209119370360808</v>
      </c>
    </row>
    <row r="49" spans="2:7" x14ac:dyDescent="0.3">
      <c r="B49" s="2"/>
      <c r="C49" s="7"/>
      <c r="D49" s="25"/>
      <c r="E49" s="12"/>
      <c r="F49" s="20"/>
      <c r="G49" s="12"/>
    </row>
    <row r="50" spans="2:7" ht="17.25" thickBot="1" x14ac:dyDescent="0.35">
      <c r="B50" s="4" t="s">
        <v>18</v>
      </c>
      <c r="C50" s="9">
        <v>13.669720393009879</v>
      </c>
      <c r="D50" s="9">
        <v>14.215070069744907</v>
      </c>
      <c r="E50" s="14">
        <v>14.256381036880267</v>
      </c>
      <c r="F50" s="22">
        <f>AVERAGE(C50:E50)</f>
        <v>14.047057166545017</v>
      </c>
      <c r="G50" s="14">
        <f>_xlfn.STDEV.P(C50:E50)</f>
        <v>0.26734987001785543</v>
      </c>
    </row>
    <row r="51" spans="2:7" ht="17.25" thickBot="1" x14ac:dyDescent="0.35"/>
    <row r="52" spans="2:7" ht="17.25" thickBot="1" x14ac:dyDescent="0.35">
      <c r="B52" s="57"/>
      <c r="C52" s="58"/>
      <c r="D52" s="58"/>
      <c r="E52" s="58"/>
      <c r="F52" s="58"/>
      <c r="G52" s="59"/>
    </row>
    <row r="53" spans="2:7" ht="16.5" customHeight="1" x14ac:dyDescent="0.3">
      <c r="B53" s="55" t="s">
        <v>24</v>
      </c>
      <c r="C53" s="34">
        <v>46050</v>
      </c>
      <c r="D53" s="34">
        <v>46091</v>
      </c>
      <c r="E53" s="34">
        <v>46097</v>
      </c>
      <c r="F53" s="15" t="s">
        <v>20</v>
      </c>
      <c r="G53" s="16" t="s">
        <v>21</v>
      </c>
    </row>
    <row r="54" spans="2:7" x14ac:dyDescent="0.3">
      <c r="B54" s="61"/>
      <c r="C54" s="6" t="s">
        <v>19</v>
      </c>
      <c r="D54" s="6" t="s">
        <v>19</v>
      </c>
      <c r="E54" s="6" t="s">
        <v>19</v>
      </c>
      <c r="F54" s="17" t="s">
        <v>19</v>
      </c>
      <c r="G54" s="11"/>
    </row>
    <row r="55" spans="2:7" x14ac:dyDescent="0.3">
      <c r="B55" s="2" t="s">
        <v>1</v>
      </c>
      <c r="C55" s="6">
        <v>3.0522281911228646</v>
      </c>
      <c r="D55" s="6">
        <v>3.0101398816148635</v>
      </c>
      <c r="E55" s="6">
        <v>2.7580726396129673</v>
      </c>
      <c r="F55" s="2">
        <f>AVERAGE(C55:E55)</f>
        <v>2.9401469041168986</v>
      </c>
      <c r="G55" s="11">
        <f>_xlfn.STDEV.P(C55:E55)</f>
        <v>0.12988747641784903</v>
      </c>
    </row>
    <row r="56" spans="2:7" x14ac:dyDescent="0.3">
      <c r="B56" s="2" t="s">
        <v>2</v>
      </c>
      <c r="C56" s="6">
        <v>2.4880245755532586</v>
      </c>
      <c r="D56" s="6">
        <v>2.6963779680922468</v>
      </c>
      <c r="E56" s="6">
        <v>2.2919716229062352</v>
      </c>
      <c r="F56" s="2">
        <f t="shared" ref="F56:F67" si="4">AVERAGE(C56:E56)</f>
        <v>2.4921247221839136</v>
      </c>
      <c r="G56" s="11">
        <f t="shared" ref="G56:G67" si="5">_xlfn.STDEV.P(C56:E56)</f>
        <v>0.16512365348120489</v>
      </c>
    </row>
    <row r="57" spans="2:7" x14ac:dyDescent="0.3">
      <c r="B57" s="2" t="s">
        <v>3</v>
      </c>
      <c r="C57" s="6">
        <v>0.30751904903384192</v>
      </c>
      <c r="D57" s="6">
        <v>0.2907563058844938</v>
      </c>
      <c r="E57" s="6">
        <v>0.35026551226722047</v>
      </c>
      <c r="F57" s="2">
        <f t="shared" si="4"/>
        <v>0.31618028906185208</v>
      </c>
      <c r="G57" s="11">
        <f t="shared" si="5"/>
        <v>2.5054596653343447E-2</v>
      </c>
    </row>
    <row r="58" spans="2:7" x14ac:dyDescent="0.3">
      <c r="B58" s="2" t="s">
        <v>4</v>
      </c>
      <c r="C58" s="6">
        <v>0.3101486890315166</v>
      </c>
      <c r="D58" s="6">
        <v>0.30379842430192211</v>
      </c>
      <c r="E58" s="6">
        <v>0.38906116320942308</v>
      </c>
      <c r="F58" s="2">
        <f t="shared" si="4"/>
        <v>0.33433609218095395</v>
      </c>
      <c r="G58" s="11">
        <f t="shared" si="5"/>
        <v>3.8783213850300667E-2</v>
      </c>
    </row>
    <row r="59" spans="2:7" x14ac:dyDescent="0.3">
      <c r="B59" s="2" t="s">
        <v>5</v>
      </c>
      <c r="C59" s="6">
        <v>0.22378495571333018</v>
      </c>
      <c r="D59" s="6">
        <v>0.21094698569686599</v>
      </c>
      <c r="E59" s="6">
        <v>0.29335588185397915</v>
      </c>
      <c r="F59" s="2">
        <f t="shared" si="4"/>
        <v>0.24269594108805845</v>
      </c>
      <c r="G59" s="11">
        <f t="shared" si="5"/>
        <v>3.6203366025282423E-2</v>
      </c>
    </row>
    <row r="60" spans="2:7" x14ac:dyDescent="0.3">
      <c r="B60" s="2" t="s">
        <v>6</v>
      </c>
      <c r="C60" s="6">
        <v>0.22787429352671013</v>
      </c>
      <c r="D60" s="6">
        <v>0.20107128492593562</v>
      </c>
      <c r="E60" s="6">
        <v>0.29586330580225101</v>
      </c>
      <c r="F60" s="2">
        <f t="shared" si="4"/>
        <v>0.24160296141829893</v>
      </c>
      <c r="G60" s="11">
        <f t="shared" si="5"/>
        <v>3.9897694561733747E-2</v>
      </c>
    </row>
    <row r="61" spans="2:7" x14ac:dyDescent="0.3">
      <c r="B61" s="2" t="s">
        <v>7</v>
      </c>
      <c r="C61" s="6">
        <v>0.15649053098545479</v>
      </c>
      <c r="D61" s="6">
        <v>0.14350423576355847</v>
      </c>
      <c r="E61" s="6">
        <v>0.17110682851801465</v>
      </c>
      <c r="F61" s="2">
        <f t="shared" si="4"/>
        <v>0.15703386508900929</v>
      </c>
      <c r="G61" s="11">
        <f t="shared" si="5"/>
        <v>1.1275258774655038E-2</v>
      </c>
    </row>
    <row r="62" spans="2:7" x14ac:dyDescent="0.3">
      <c r="B62" s="2" t="s">
        <v>8</v>
      </c>
      <c r="C62" s="6">
        <v>5.3322125873251122E-2</v>
      </c>
      <c r="D62" s="6">
        <v>5.8974968146817658E-2</v>
      </c>
      <c r="E62" s="6">
        <v>4.939248789762176E-2</v>
      </c>
      <c r="F62" s="2">
        <f t="shared" si="4"/>
        <v>5.3896527305896842E-2</v>
      </c>
      <c r="G62" s="11">
        <f t="shared" si="5"/>
        <v>3.9330594271234079E-3</v>
      </c>
    </row>
    <row r="63" spans="2:7" x14ac:dyDescent="0.3">
      <c r="B63" s="2" t="s">
        <v>9</v>
      </c>
      <c r="C63" s="6">
        <v>2.0241510194245305E-2</v>
      </c>
      <c r="D63" s="6">
        <v>2.0248054982686978E-2</v>
      </c>
      <c r="E63" s="6">
        <v>1.5377157432991439E-2</v>
      </c>
      <c r="F63" s="2">
        <f t="shared" si="4"/>
        <v>1.8622240869974573E-2</v>
      </c>
      <c r="G63" s="11">
        <f t="shared" si="5"/>
        <v>2.2946220594106045E-3</v>
      </c>
    </row>
    <row r="64" spans="2:7" x14ac:dyDescent="0.3">
      <c r="B64" s="2" t="s">
        <v>10</v>
      </c>
      <c r="C64" s="6">
        <v>1.2041625253070164E-2</v>
      </c>
      <c r="D64" s="6">
        <v>1.1775808845505924E-2</v>
      </c>
      <c r="E64" s="6">
        <v>1.4647571016653834E-2</v>
      </c>
      <c r="F64" s="2">
        <f t="shared" si="4"/>
        <v>1.2821668371743309E-2</v>
      </c>
      <c r="G64" s="11">
        <f t="shared" si="5"/>
        <v>1.2956606917324798E-3</v>
      </c>
    </row>
    <row r="65" spans="2:7" x14ac:dyDescent="0.3">
      <c r="B65" s="2" t="s">
        <v>11</v>
      </c>
      <c r="C65" s="6">
        <v>2.631515851533238</v>
      </c>
      <c r="D65" s="6">
        <v>1.91574807351229</v>
      </c>
      <c r="E65" s="6">
        <v>2.5972990675805314</v>
      </c>
      <c r="F65" s="2">
        <f t="shared" si="4"/>
        <v>2.3815209975420202</v>
      </c>
      <c r="G65" s="11">
        <f t="shared" si="5"/>
        <v>0.3296472960053089</v>
      </c>
    </row>
    <row r="66" spans="2:7" x14ac:dyDescent="0.3">
      <c r="B66" s="2" t="s">
        <v>12</v>
      </c>
      <c r="C66" s="6">
        <v>0.64795003470418933</v>
      </c>
      <c r="D66" s="6">
        <v>0.54582442088406935</v>
      </c>
      <c r="E66" s="6">
        <v>0.53103428397081542</v>
      </c>
      <c r="F66" s="2">
        <f t="shared" si="4"/>
        <v>0.57493624651969133</v>
      </c>
      <c r="G66" s="11">
        <f t="shared" si="5"/>
        <v>5.1980425714982681E-2</v>
      </c>
    </row>
    <row r="67" spans="2:7" x14ac:dyDescent="0.3">
      <c r="B67" s="2" t="s">
        <v>13</v>
      </c>
      <c r="C67" s="6">
        <v>4.0108547093127722</v>
      </c>
      <c r="D67" s="6">
        <v>3.6433525187110165</v>
      </c>
      <c r="E67" s="6">
        <v>4.0394847638548335</v>
      </c>
      <c r="F67" s="2">
        <f t="shared" si="4"/>
        <v>3.8978973306262077</v>
      </c>
      <c r="G67" s="11">
        <f t="shared" si="5"/>
        <v>0.18036946519200578</v>
      </c>
    </row>
    <row r="68" spans="2:7" x14ac:dyDescent="0.3">
      <c r="B68" s="2"/>
      <c r="C68" s="6"/>
      <c r="D68" s="6"/>
      <c r="E68" s="6"/>
      <c r="F68" s="18"/>
      <c r="G68" s="19"/>
    </row>
    <row r="69" spans="2:7" ht="17.25" thickBot="1" x14ac:dyDescent="0.35">
      <c r="B69" s="4"/>
      <c r="C69" s="31"/>
      <c r="D69" s="31"/>
      <c r="E69" s="31"/>
      <c r="F69" s="4"/>
      <c r="G69" s="33"/>
    </row>
    <row r="70" spans="2:7" x14ac:dyDescent="0.3">
      <c r="B70" s="18" t="s">
        <v>14</v>
      </c>
      <c r="C70" s="27">
        <v>6.8516755462875425</v>
      </c>
      <c r="D70" s="27">
        <v>6.9475939182548974</v>
      </c>
      <c r="E70" s="27">
        <v>6.629114170517358</v>
      </c>
      <c r="F70" s="30">
        <f>AVERAGE(C70:E70)</f>
        <v>6.8094612116865996</v>
      </c>
      <c r="G70" s="29">
        <f>_xlfn.STDEV.P(C70:E70)</f>
        <v>0.13340133673516164</v>
      </c>
    </row>
    <row r="71" spans="2:7" x14ac:dyDescent="0.3">
      <c r="B71" s="2" t="s">
        <v>15</v>
      </c>
      <c r="C71" s="7">
        <v>0.69375504154606182</v>
      </c>
      <c r="D71" s="7">
        <v>0.6465213383613706</v>
      </c>
      <c r="E71" s="7">
        <v>0.83974323252151173</v>
      </c>
      <c r="F71" s="20">
        <f>AVERAGE(C71:E71)</f>
        <v>0.72667320414298142</v>
      </c>
      <c r="G71" s="12">
        <f>_xlfn.STDEV.P(C71:E71)</f>
        <v>8.2245077531631669E-2</v>
      </c>
    </row>
    <row r="72" spans="2:7" x14ac:dyDescent="0.3">
      <c r="B72" s="3" t="s">
        <v>16</v>
      </c>
      <c r="C72" s="8">
        <v>10.125334115126927</v>
      </c>
      <c r="D72" s="8">
        <v>9.3056869179217134</v>
      </c>
      <c r="E72" s="8">
        <v>12.667502941135428</v>
      </c>
      <c r="F72" s="21">
        <f>AVERAGE(C72:E72)</f>
        <v>10.69950799139469</v>
      </c>
      <c r="G72" s="12">
        <f>_xlfn.STDEV.P(C72:E72)</f>
        <v>1.4312485164185267</v>
      </c>
    </row>
    <row r="73" spans="2:7" x14ac:dyDescent="0.3">
      <c r="B73" s="2" t="s">
        <v>17</v>
      </c>
      <c r="C73" s="7">
        <v>9.4831913978207805</v>
      </c>
      <c r="D73" s="7">
        <v>8.8633419917671876</v>
      </c>
      <c r="E73" s="7">
        <v>9.2264132380978889</v>
      </c>
      <c r="F73" s="20">
        <f>AVERAGE(C73:E73)</f>
        <v>9.1909822092286202</v>
      </c>
      <c r="G73" s="12">
        <f>_xlfn.STDEV.P(C73:E73)</f>
        <v>0.25428965099049183</v>
      </c>
    </row>
    <row r="74" spans="2:7" x14ac:dyDescent="0.3">
      <c r="B74" s="2"/>
      <c r="C74" s="7"/>
      <c r="D74" s="7"/>
      <c r="E74" s="7"/>
      <c r="F74" s="20"/>
      <c r="G74" s="12"/>
    </row>
    <row r="75" spans="2:7" ht="17.25" thickBot="1" x14ac:dyDescent="0.35">
      <c r="B75" s="4" t="s">
        <v>18</v>
      </c>
      <c r="C75" s="9">
        <f>SUM(C55:C67)</f>
        <v>14.141996141837742</v>
      </c>
      <c r="D75" s="9">
        <f>SUM(D55:D67)</f>
        <v>13.052518931362272</v>
      </c>
      <c r="E75" s="9">
        <f>SUM(E55:E67)</f>
        <v>13.796932285923537</v>
      </c>
      <c r="F75" s="22">
        <f>AVERAGE(C75:E75)</f>
        <v>13.663815786374519</v>
      </c>
      <c r="G75" s="14">
        <f>_xlfn.STDEV.P(C75:E75)</f>
        <v>0.45462816298999875</v>
      </c>
    </row>
    <row r="76" spans="2:7" ht="17.25" thickBot="1" x14ac:dyDescent="0.35"/>
    <row r="77" spans="2:7" ht="17.25" thickBot="1" x14ac:dyDescent="0.35">
      <c r="B77" s="63"/>
      <c r="C77" s="64"/>
      <c r="D77" s="64"/>
      <c r="E77" s="64"/>
      <c r="F77" s="58"/>
      <c r="G77" s="59"/>
    </row>
    <row r="78" spans="2:7" ht="16.5" customHeight="1" x14ac:dyDescent="0.3">
      <c r="B78" s="55" t="s">
        <v>25</v>
      </c>
      <c r="C78" s="34">
        <v>46050</v>
      </c>
      <c r="D78" s="34">
        <v>46050</v>
      </c>
      <c r="E78" s="35">
        <v>46092</v>
      </c>
      <c r="F78" s="44" t="s">
        <v>20</v>
      </c>
      <c r="G78" s="16" t="s">
        <v>21</v>
      </c>
    </row>
    <row r="79" spans="2:7" x14ac:dyDescent="0.3">
      <c r="B79" s="61"/>
      <c r="C79" s="6" t="s">
        <v>19</v>
      </c>
      <c r="D79" s="6" t="s">
        <v>19</v>
      </c>
      <c r="E79" s="11" t="s">
        <v>19</v>
      </c>
      <c r="F79" s="37" t="s">
        <v>19</v>
      </c>
      <c r="G79" s="11"/>
    </row>
    <row r="80" spans="2:7" x14ac:dyDescent="0.3">
      <c r="B80" s="2" t="s">
        <v>1</v>
      </c>
      <c r="C80" s="6">
        <v>2.8677310949362416</v>
      </c>
      <c r="D80" s="6">
        <v>3.4510227302088272</v>
      </c>
      <c r="E80" s="11">
        <v>2.8394276848354965</v>
      </c>
      <c r="F80" s="38">
        <f>AVERAGE(C80:E80)</f>
        <v>3.0527271699935219</v>
      </c>
      <c r="G80" s="11">
        <f>_xlfn.STDEV.P(C80:E80)</f>
        <v>0.28187442324700879</v>
      </c>
    </row>
    <row r="81" spans="2:7" x14ac:dyDescent="0.3">
      <c r="B81" s="2" t="s">
        <v>2</v>
      </c>
      <c r="C81" s="6">
        <v>2.3452290863746792</v>
      </c>
      <c r="D81" s="6">
        <v>2.4726319856141186</v>
      </c>
      <c r="E81" s="11">
        <v>2.8986697490710127</v>
      </c>
      <c r="F81" s="38">
        <f t="shared" ref="F81:F92" si="6">AVERAGE(C81:E81)</f>
        <v>2.5721769403532702</v>
      </c>
      <c r="G81" s="11">
        <f t="shared" ref="G81:G92" si="7">_xlfn.STDEV.P(C81:E81)</f>
        <v>0.23665169946844386</v>
      </c>
    </row>
    <row r="82" spans="2:7" x14ac:dyDescent="0.3">
      <c r="B82" s="2" t="s">
        <v>3</v>
      </c>
      <c r="C82" s="6">
        <v>0.3225093094781627</v>
      </c>
      <c r="D82" s="6">
        <v>0.25585676400173274</v>
      </c>
      <c r="E82" s="11">
        <v>0.2926492896943591</v>
      </c>
      <c r="F82" s="38">
        <f t="shared" si="6"/>
        <v>0.2903384543914182</v>
      </c>
      <c r="G82" s="11">
        <f t="shared" si="7"/>
        <v>2.7259804651658569E-2</v>
      </c>
    </row>
    <row r="83" spans="2:7" x14ac:dyDescent="0.3">
      <c r="B83" s="2" t="s">
        <v>4</v>
      </c>
      <c r="C83" s="6">
        <v>0.34648489947439676</v>
      </c>
      <c r="D83" s="6">
        <v>0.31734645136600487</v>
      </c>
      <c r="E83" s="11">
        <v>0.33023877462551676</v>
      </c>
      <c r="F83" s="38">
        <f t="shared" si="6"/>
        <v>0.33135670848863946</v>
      </c>
      <c r="G83" s="11">
        <f t="shared" si="7"/>
        <v>1.1921957938557439E-2</v>
      </c>
    </row>
    <row r="84" spans="2:7" x14ac:dyDescent="0.3">
      <c r="B84" s="2" t="s">
        <v>5</v>
      </c>
      <c r="C84" s="6">
        <v>0.27145526978470508</v>
      </c>
      <c r="D84" s="6">
        <v>0.24789637631888045</v>
      </c>
      <c r="E84" s="11">
        <v>0.22565718519407293</v>
      </c>
      <c r="F84" s="38">
        <f t="shared" si="6"/>
        <v>0.24833627709921949</v>
      </c>
      <c r="G84" s="11">
        <f t="shared" si="7"/>
        <v>1.8699577046287819E-2</v>
      </c>
    </row>
    <row r="85" spans="2:7" x14ac:dyDescent="0.3">
      <c r="B85" s="2" t="s">
        <v>6</v>
      </c>
      <c r="C85" s="6">
        <v>0.26126027433487958</v>
      </c>
      <c r="D85" s="6">
        <v>0.2436401289008035</v>
      </c>
      <c r="E85" s="11">
        <v>0.24174018031607247</v>
      </c>
      <c r="F85" s="38">
        <f t="shared" si="6"/>
        <v>0.24888019451725185</v>
      </c>
      <c r="G85" s="11">
        <f t="shared" si="7"/>
        <v>8.78833444115097E-3</v>
      </c>
    </row>
    <row r="86" spans="2:7" x14ac:dyDescent="0.3">
      <c r="B86" s="2" t="s">
        <v>7</v>
      </c>
      <c r="C86" s="6">
        <v>0.15371141081968182</v>
      </c>
      <c r="D86" s="6">
        <v>0.17405698815498799</v>
      </c>
      <c r="E86" s="11">
        <v>0.15659552759147097</v>
      </c>
      <c r="F86" s="38">
        <f t="shared" si="6"/>
        <v>0.16145464218871361</v>
      </c>
      <c r="G86" s="11">
        <f t="shared" si="7"/>
        <v>8.9886548967233627E-3</v>
      </c>
    </row>
    <row r="87" spans="2:7" x14ac:dyDescent="0.3">
      <c r="B87" s="2" t="s">
        <v>8</v>
      </c>
      <c r="C87" s="6">
        <v>4.726140678418049E-2</v>
      </c>
      <c r="D87" s="6">
        <v>6.6628695742365421E-2</v>
      </c>
      <c r="E87" s="11">
        <v>6.8804190420151526E-2</v>
      </c>
      <c r="F87" s="38">
        <f t="shared" si="6"/>
        <v>6.0898097648899141E-2</v>
      </c>
      <c r="G87" s="11">
        <f t="shared" si="7"/>
        <v>9.6834118497630024E-3</v>
      </c>
    </row>
    <row r="88" spans="2:7" x14ac:dyDescent="0.3">
      <c r="B88" s="2" t="s">
        <v>9</v>
      </c>
      <c r="C88" s="6">
        <v>1.2605352030770909E-2</v>
      </c>
      <c r="D88" s="6">
        <v>1.7717916768646973E-2</v>
      </c>
      <c r="E88" s="11">
        <v>1.7603225476008656E-2</v>
      </c>
      <c r="F88" s="38">
        <f t="shared" si="6"/>
        <v>1.5975498091808846E-2</v>
      </c>
      <c r="G88" s="11">
        <f t="shared" si="7"/>
        <v>2.3835130763502437E-3</v>
      </c>
    </row>
    <row r="89" spans="2:7" x14ac:dyDescent="0.3">
      <c r="B89" s="2" t="s">
        <v>10</v>
      </c>
      <c r="C89" s="6">
        <v>1.1118180103158062E-2</v>
      </c>
      <c r="D89" s="6">
        <v>1.6941781856975539E-2</v>
      </c>
      <c r="E89" s="11">
        <v>1.4773531945004553E-2</v>
      </c>
      <c r="F89" s="38">
        <f t="shared" si="6"/>
        <v>1.4277831301712717E-2</v>
      </c>
      <c r="G89" s="11">
        <f t="shared" si="7"/>
        <v>2.4031748018799978E-3</v>
      </c>
    </row>
    <row r="90" spans="2:7" x14ac:dyDescent="0.3">
      <c r="B90" s="2" t="s">
        <v>11</v>
      </c>
      <c r="C90" s="6">
        <v>2.362833491610052</v>
      </c>
      <c r="D90" s="6">
        <v>2.4806812622161627</v>
      </c>
      <c r="E90" s="11">
        <v>2.075127531619041</v>
      </c>
      <c r="F90" s="38">
        <f t="shared" si="6"/>
        <v>2.3062140951484182</v>
      </c>
      <c r="G90" s="11">
        <f t="shared" si="7"/>
        <v>0.17033843594849721</v>
      </c>
    </row>
    <row r="91" spans="2:7" x14ac:dyDescent="0.3">
      <c r="B91" s="2" t="s">
        <v>12</v>
      </c>
      <c r="C91" s="6">
        <v>0.43528938389603472</v>
      </c>
      <c r="D91" s="6">
        <v>0.54039704132248811</v>
      </c>
      <c r="E91" s="11">
        <v>0.51332342146914134</v>
      </c>
      <c r="F91" s="38">
        <f t="shared" si="6"/>
        <v>0.49633661556255476</v>
      </c>
      <c r="G91" s="11">
        <f t="shared" si="7"/>
        <v>4.4559462845357591E-2</v>
      </c>
    </row>
    <row r="92" spans="2:7" x14ac:dyDescent="0.3">
      <c r="B92" s="2" t="s">
        <v>13</v>
      </c>
      <c r="C92" s="6">
        <v>4.2158774520140181</v>
      </c>
      <c r="D92" s="6">
        <v>4.1050114657238215</v>
      </c>
      <c r="E92" s="11">
        <v>3.9065456910705465</v>
      </c>
      <c r="F92" s="38">
        <f t="shared" si="6"/>
        <v>4.0758115362694616</v>
      </c>
      <c r="G92" s="11">
        <f t="shared" si="7"/>
        <v>0.12796096147445893</v>
      </c>
    </row>
    <row r="93" spans="2:7" x14ac:dyDescent="0.3">
      <c r="B93" s="2"/>
      <c r="C93" s="6"/>
      <c r="D93" s="6"/>
      <c r="E93" s="11"/>
      <c r="F93" s="39"/>
      <c r="G93" s="19"/>
    </row>
    <row r="94" spans="2:7" ht="17.25" thickBot="1" x14ac:dyDescent="0.35">
      <c r="B94" s="4"/>
      <c r="C94" s="31"/>
      <c r="D94" s="31"/>
      <c r="E94" s="33"/>
      <c r="F94" s="45"/>
      <c r="G94" s="33"/>
    </row>
    <row r="95" spans="2:7" x14ac:dyDescent="0.3">
      <c r="B95" s="18" t="s">
        <v>14</v>
      </c>
      <c r="C95" s="27">
        <v>6.6393662841208547</v>
      </c>
      <c r="D95" s="27">
        <v>7.2637398189333444</v>
      </c>
      <c r="E95" s="29">
        <v>7.086159339169166</v>
      </c>
      <c r="F95" s="43">
        <f>AVERAGE(C95:E95)</f>
        <v>6.9964218140744547</v>
      </c>
      <c r="G95" s="29">
        <f>_xlfn.STDEV.P(C95:E95)</f>
        <v>0.26267875856408557</v>
      </c>
    </row>
    <row r="96" spans="2:7" x14ac:dyDescent="0.3">
      <c r="B96" s="2" t="s">
        <v>15</v>
      </c>
      <c r="C96" s="7">
        <v>0.75741189385737595</v>
      </c>
      <c r="D96" s="7">
        <v>0.76688188774265986</v>
      </c>
      <c r="E96" s="12">
        <v>0.72517384094278114</v>
      </c>
      <c r="F96" s="40">
        <f>AVERAGE(C96:E96)</f>
        <v>0.74982254084760569</v>
      </c>
      <c r="G96" s="12">
        <f>_xlfn.STDEV.P(C96:E96)</f>
        <v>1.7852898948450928E-2</v>
      </c>
    </row>
    <row r="97" spans="2:7" x14ac:dyDescent="0.3">
      <c r="B97" s="3" t="s">
        <v>16</v>
      </c>
      <c r="C97" s="8">
        <v>11.407894389993999</v>
      </c>
      <c r="D97" s="8">
        <v>10.557672863553554</v>
      </c>
      <c r="E97" s="13">
        <v>10.233665462958754</v>
      </c>
      <c r="F97" s="41">
        <f>AVERAGE(C97:E97)</f>
        <v>10.733077572168769</v>
      </c>
      <c r="G97" s="12">
        <f>_xlfn.STDEV.P(C97:E97)</f>
        <v>0.49516226439749134</v>
      </c>
    </row>
    <row r="98" spans="2:7" x14ac:dyDescent="0.3">
      <c r="B98" s="2" t="s">
        <v>17</v>
      </c>
      <c r="C98" s="7">
        <v>9.0021997757309062</v>
      </c>
      <c r="D98" s="7">
        <v>9.7444210811495076</v>
      </c>
      <c r="E98" s="12">
        <v>9.1612868707882065</v>
      </c>
      <c r="F98" s="40">
        <f>AVERAGE(C98:E98)</f>
        <v>9.3026359092228734</v>
      </c>
      <c r="G98" s="12">
        <f>_xlfn.STDEV.P(C98:E98)</f>
        <v>0.31906925011573573</v>
      </c>
    </row>
    <row r="99" spans="2:7" x14ac:dyDescent="0.3">
      <c r="B99" s="2"/>
      <c r="C99" s="7"/>
      <c r="D99" s="7"/>
      <c r="E99" s="12"/>
      <c r="F99" s="40"/>
      <c r="G99" s="12"/>
    </row>
    <row r="100" spans="2:7" ht="17.25" thickBot="1" x14ac:dyDescent="0.35">
      <c r="B100" s="4" t="s">
        <v>18</v>
      </c>
      <c r="C100" s="9">
        <f>SUM(C80:C92)</f>
        <v>13.653366611640958</v>
      </c>
      <c r="D100" s="9">
        <f>SUM(D80:D92)</f>
        <v>14.389829588195818</v>
      </c>
      <c r="E100" s="14">
        <v>13.581155983327895</v>
      </c>
      <c r="F100" s="42">
        <f>AVERAGE(C100:E100)</f>
        <v>13.874784061054891</v>
      </c>
      <c r="G100" s="14">
        <f>_xlfn.STDEV.P(C100:E100)</f>
        <v>0.3653833739888821</v>
      </c>
    </row>
    <row r="102" spans="2:7" ht="16.5" customHeight="1" thickBot="1" x14ac:dyDescent="0.35"/>
    <row r="103" spans="2:7" ht="16.5" customHeight="1" x14ac:dyDescent="0.3">
      <c r="B103" s="55" t="s">
        <v>33</v>
      </c>
      <c r="C103" s="34" t="s">
        <v>26</v>
      </c>
      <c r="D103" s="34" t="s">
        <v>28</v>
      </c>
      <c r="E103" s="34" t="s">
        <v>30</v>
      </c>
      <c r="F103" s="35" t="s">
        <v>32</v>
      </c>
    </row>
    <row r="104" spans="2:7" ht="17.25" thickBot="1" x14ac:dyDescent="0.35">
      <c r="B104" s="56"/>
      <c r="C104" s="31" t="s">
        <v>19</v>
      </c>
      <c r="D104" s="31" t="s">
        <v>19</v>
      </c>
      <c r="E104" s="31" t="s">
        <v>19</v>
      </c>
      <c r="F104" s="33" t="s">
        <v>19</v>
      </c>
    </row>
    <row r="105" spans="2:7" x14ac:dyDescent="0.3">
      <c r="B105" s="67" t="s">
        <v>1</v>
      </c>
      <c r="C105" s="46">
        <v>3.2748653394437248</v>
      </c>
      <c r="D105" s="46">
        <v>3.260756560505778</v>
      </c>
      <c r="E105" s="46">
        <v>2.9401469041168986</v>
      </c>
      <c r="F105" s="19">
        <v>3.0527271699935219</v>
      </c>
    </row>
    <row r="106" spans="2:7" x14ac:dyDescent="0.3">
      <c r="B106" s="66" t="s">
        <v>2</v>
      </c>
      <c r="C106" s="6">
        <v>2.5898047447064405</v>
      </c>
      <c r="D106" s="6">
        <v>2.7266231854246548</v>
      </c>
      <c r="E106" s="6">
        <v>2.4921247221839136</v>
      </c>
      <c r="F106" s="11">
        <v>2.5721769403532702</v>
      </c>
    </row>
    <row r="107" spans="2:7" x14ac:dyDescent="0.3">
      <c r="B107" s="65" t="s">
        <v>3</v>
      </c>
      <c r="C107" s="6">
        <v>0.28753512667481368</v>
      </c>
      <c r="D107" s="6">
        <v>0.32656622667286267</v>
      </c>
      <c r="E107" s="6">
        <v>0.31618028906185208</v>
      </c>
      <c r="F107" s="11">
        <v>0.2903384543914182</v>
      </c>
    </row>
    <row r="108" spans="2:7" x14ac:dyDescent="0.3">
      <c r="B108" s="66" t="s">
        <v>4</v>
      </c>
      <c r="C108" s="6">
        <v>0.32118028577178931</v>
      </c>
      <c r="D108" s="6">
        <v>0.37167356192509371</v>
      </c>
      <c r="E108" s="6">
        <v>0.33433609218095395</v>
      </c>
      <c r="F108" s="11">
        <v>0.33135670848863946</v>
      </c>
    </row>
    <row r="109" spans="2:7" x14ac:dyDescent="0.3">
      <c r="B109" s="66" t="s">
        <v>5</v>
      </c>
      <c r="C109" s="6">
        <v>0.22198912876289847</v>
      </c>
      <c r="D109" s="6">
        <v>0.27829641698000424</v>
      </c>
      <c r="E109" s="6">
        <v>0.24269594108805845</v>
      </c>
      <c r="F109" s="11">
        <v>0.24833627709921949</v>
      </c>
    </row>
    <row r="110" spans="2:7" x14ac:dyDescent="0.3">
      <c r="B110" s="66" t="s">
        <v>6</v>
      </c>
      <c r="C110" s="6">
        <v>0.23549506385425834</v>
      </c>
      <c r="D110" s="6">
        <v>0.2980076164880503</v>
      </c>
      <c r="E110" s="6">
        <v>0.24160296141829893</v>
      </c>
      <c r="F110" s="11">
        <v>0.24888019451725185</v>
      </c>
    </row>
    <row r="111" spans="2:7" x14ac:dyDescent="0.3">
      <c r="B111" s="66" t="s">
        <v>7</v>
      </c>
      <c r="C111" s="6">
        <v>0.15447822436599692</v>
      </c>
      <c r="D111" s="6">
        <v>0.19773561275053964</v>
      </c>
      <c r="E111" s="6">
        <v>0.15703386508900929</v>
      </c>
      <c r="F111" s="11">
        <v>0.16145464218871361</v>
      </c>
    </row>
    <row r="112" spans="2:7" x14ac:dyDescent="0.3">
      <c r="B112" s="66" t="s">
        <v>8</v>
      </c>
      <c r="C112" s="6">
        <v>6.4957476430695812E-2</v>
      </c>
      <c r="D112" s="6">
        <v>7.5425486388742413E-2</v>
      </c>
      <c r="E112" s="6">
        <v>5.3896527305896842E-2</v>
      </c>
      <c r="F112" s="11">
        <v>6.0898097648899141E-2</v>
      </c>
    </row>
    <row r="113" spans="2:6" x14ac:dyDescent="0.3">
      <c r="B113" s="66" t="s">
        <v>9</v>
      </c>
      <c r="C113" s="6">
        <v>2.1872480806942058E-2</v>
      </c>
      <c r="D113" s="6">
        <v>2.0225445713524835E-2</v>
      </c>
      <c r="E113" s="6">
        <v>1.8622240869974573E-2</v>
      </c>
      <c r="F113" s="11">
        <v>1.5975498091808846E-2</v>
      </c>
    </row>
    <row r="114" spans="2:6" x14ac:dyDescent="0.3">
      <c r="B114" s="66" t="s">
        <v>10</v>
      </c>
      <c r="C114" s="6">
        <v>1.2012412864018556E-2</v>
      </c>
      <c r="D114" s="6">
        <v>1.5028557034728239E-2</v>
      </c>
      <c r="E114" s="6">
        <v>1.2821668371743309E-2</v>
      </c>
      <c r="F114" s="11">
        <v>1.4277831301712717E-2</v>
      </c>
    </row>
    <row r="115" spans="2:6" x14ac:dyDescent="0.3">
      <c r="B115" s="66" t="s">
        <v>11</v>
      </c>
      <c r="C115" s="6">
        <v>2.3945199856869546</v>
      </c>
      <c r="D115" s="6">
        <v>2.8806990234285035</v>
      </c>
      <c r="E115" s="6">
        <v>2.3815209975420202</v>
      </c>
      <c r="F115" s="11">
        <v>2.3062140951484182</v>
      </c>
    </row>
    <row r="116" spans="2:6" x14ac:dyDescent="0.3">
      <c r="B116" s="2" t="s">
        <v>12</v>
      </c>
      <c r="C116" s="6">
        <v>0.53826445525769406</v>
      </c>
      <c r="D116" s="6">
        <v>0.6052473900543881</v>
      </c>
      <c r="E116" s="6">
        <v>0.57493624651969133</v>
      </c>
      <c r="F116" s="11">
        <v>0.49633661556255476</v>
      </c>
    </row>
    <row r="117" spans="2:6" ht="17.25" thickBot="1" x14ac:dyDescent="0.35">
      <c r="B117" s="4" t="s">
        <v>13</v>
      </c>
      <c r="C117" s="31">
        <v>3.8631603468221383</v>
      </c>
      <c r="D117" s="31">
        <v>2.9907720831781472</v>
      </c>
      <c r="E117" s="31">
        <v>3.8978973306262077</v>
      </c>
      <c r="F117" s="33">
        <v>4.0758115362694616</v>
      </c>
    </row>
    <row r="118" spans="2:6" ht="17.25" thickBot="1" x14ac:dyDescent="0.35">
      <c r="B118" s="47"/>
      <c r="C118" s="48"/>
      <c r="D118" s="48"/>
      <c r="E118" s="48"/>
      <c r="F118" s="49"/>
    </row>
    <row r="119" spans="2:6" ht="17.25" thickBot="1" x14ac:dyDescent="0.35">
      <c r="B119" s="50"/>
      <c r="C119" s="51" t="s">
        <v>26</v>
      </c>
      <c r="D119" s="51" t="s">
        <v>28</v>
      </c>
      <c r="E119" s="51" t="s">
        <v>30</v>
      </c>
      <c r="F119" s="52" t="s">
        <v>32</v>
      </c>
    </row>
    <row r="120" spans="2:6" x14ac:dyDescent="0.3">
      <c r="B120" s="18" t="s">
        <v>14</v>
      </c>
      <c r="C120" s="27">
        <v>7.1841902836815779</v>
      </c>
      <c r="D120" s="27">
        <v>7.5703386698839799</v>
      </c>
      <c r="E120" s="27">
        <v>6.8094612116865996</v>
      </c>
      <c r="F120" s="29">
        <v>6.9964218140744547</v>
      </c>
    </row>
    <row r="121" spans="2:6" x14ac:dyDescent="0.3">
      <c r="B121" s="2" t="s">
        <v>15</v>
      </c>
      <c r="C121" s="7">
        <v>0.71080478708481021</v>
      </c>
      <c r="D121" s="7">
        <v>0.88471913535558977</v>
      </c>
      <c r="E121" s="7">
        <v>0.72667320414298142</v>
      </c>
      <c r="F121" s="12">
        <v>0.74982254084760569</v>
      </c>
    </row>
    <row r="122" spans="2:6" x14ac:dyDescent="0.3">
      <c r="B122" s="3" t="s">
        <v>16</v>
      </c>
      <c r="C122" s="8">
        <v>9.8712503232692388</v>
      </c>
      <c r="D122" s="8">
        <v>11.683476548801044</v>
      </c>
      <c r="E122" s="8">
        <v>10.69950799139469</v>
      </c>
      <c r="F122" s="13">
        <v>10.733077572168769</v>
      </c>
    </row>
    <row r="123" spans="2:6" x14ac:dyDescent="0.3">
      <c r="B123" s="65" t="s">
        <v>17</v>
      </c>
      <c r="C123" s="7">
        <v>9.5787102693685338</v>
      </c>
      <c r="D123" s="7">
        <v>10.451037693312482</v>
      </c>
      <c r="E123" s="7">
        <v>9.1909822092286202</v>
      </c>
      <c r="F123" s="12">
        <v>9.3026359092228734</v>
      </c>
    </row>
    <row r="124" spans="2:6" x14ac:dyDescent="0.3">
      <c r="B124" s="2"/>
      <c r="C124" s="7"/>
      <c r="D124" s="7"/>
      <c r="E124" s="7"/>
      <c r="F124" s="12"/>
    </row>
    <row r="125" spans="2:6" ht="17.25" thickBot="1" x14ac:dyDescent="0.35">
      <c r="B125" s="4" t="s">
        <v>18</v>
      </c>
      <c r="C125" s="9">
        <v>13.980135071448364</v>
      </c>
      <c r="D125" s="9">
        <v>14.047057166545017</v>
      </c>
      <c r="E125" s="9">
        <v>13.663815786374519</v>
      </c>
      <c r="F125" s="14">
        <v>13.874784061054891</v>
      </c>
    </row>
    <row r="127" spans="2:6" ht="17.25" thickBot="1" x14ac:dyDescent="0.35"/>
    <row r="128" spans="2:6" ht="16.5" customHeight="1" x14ac:dyDescent="0.3">
      <c r="B128" s="55" t="s">
        <v>34</v>
      </c>
      <c r="C128" s="34" t="s">
        <v>26</v>
      </c>
      <c r="D128" s="34" t="s">
        <v>28</v>
      </c>
      <c r="E128" s="34" t="s">
        <v>30</v>
      </c>
      <c r="F128" s="35" t="s">
        <v>32</v>
      </c>
    </row>
    <row r="129" spans="2:6" ht="17.25" thickBot="1" x14ac:dyDescent="0.35">
      <c r="B129" s="56"/>
      <c r="C129" s="31"/>
      <c r="D129" s="31"/>
      <c r="E129" s="31"/>
      <c r="F129" s="33"/>
    </row>
    <row r="130" spans="2:6" x14ac:dyDescent="0.3">
      <c r="B130" s="1" t="s">
        <v>1</v>
      </c>
      <c r="C130" s="5">
        <v>0.13405728550514334</v>
      </c>
      <c r="D130" s="5">
        <v>0.2196613725143054</v>
      </c>
      <c r="E130" s="5">
        <v>0.12988747641784903</v>
      </c>
      <c r="F130" s="10">
        <v>0.28187442324700879</v>
      </c>
    </row>
    <row r="131" spans="2:6" x14ac:dyDescent="0.3">
      <c r="B131" s="2" t="s">
        <v>2</v>
      </c>
      <c r="C131" s="6">
        <v>0.20947826582371007</v>
      </c>
      <c r="D131" s="6">
        <v>7.5173664206339905E-2</v>
      </c>
      <c r="E131" s="6">
        <v>0.16512365348120489</v>
      </c>
      <c r="F131" s="11">
        <v>0.23665169946844386</v>
      </c>
    </row>
    <row r="132" spans="2:6" x14ac:dyDescent="0.3">
      <c r="B132" s="2" t="s">
        <v>3</v>
      </c>
      <c r="C132" s="6">
        <v>1.6623199363824268E-2</v>
      </c>
      <c r="D132" s="6">
        <v>4.4761336419879408E-2</v>
      </c>
      <c r="E132" s="6">
        <v>2.5054596653343447E-2</v>
      </c>
      <c r="F132" s="11">
        <v>2.7259804651658569E-2</v>
      </c>
    </row>
    <row r="133" spans="2:6" x14ac:dyDescent="0.3">
      <c r="B133" s="2" t="s">
        <v>4</v>
      </c>
      <c r="C133" s="6">
        <v>3.0908706250202984E-2</v>
      </c>
      <c r="D133" s="6">
        <v>3.3958798016828939E-2</v>
      </c>
      <c r="E133" s="6">
        <v>3.8783213850300667E-2</v>
      </c>
      <c r="F133" s="11">
        <v>1.1921957938557439E-2</v>
      </c>
    </row>
    <row r="134" spans="2:6" x14ac:dyDescent="0.3">
      <c r="B134" s="2" t="s">
        <v>5</v>
      </c>
      <c r="C134" s="6">
        <v>2.5805088973776515E-2</v>
      </c>
      <c r="D134" s="6">
        <v>2.9025056404928334E-2</v>
      </c>
      <c r="E134" s="6">
        <v>3.6203366025282423E-2</v>
      </c>
      <c r="F134" s="11">
        <v>1.8699577046287819E-2</v>
      </c>
    </row>
    <row r="135" spans="2:6" x14ac:dyDescent="0.3">
      <c r="B135" s="2" t="s">
        <v>6</v>
      </c>
      <c r="C135" s="6">
        <v>3.6785442719263907E-2</v>
      </c>
      <c r="D135" s="6">
        <v>3.3797881607507574E-2</v>
      </c>
      <c r="E135" s="6">
        <v>3.9897694561733747E-2</v>
      </c>
      <c r="F135" s="11">
        <v>8.78833444115097E-3</v>
      </c>
    </row>
    <row r="136" spans="2:6" x14ac:dyDescent="0.3">
      <c r="B136" s="2" t="s">
        <v>7</v>
      </c>
      <c r="C136" s="6">
        <v>2.1422672237044804E-2</v>
      </c>
      <c r="D136" s="6">
        <v>1.2870650480188763E-2</v>
      </c>
      <c r="E136" s="6">
        <v>1.1275258774655038E-2</v>
      </c>
      <c r="F136" s="11">
        <v>8.9886548967233627E-3</v>
      </c>
    </row>
    <row r="137" spans="2:6" x14ac:dyDescent="0.3">
      <c r="B137" s="2" t="s">
        <v>8</v>
      </c>
      <c r="C137" s="6">
        <v>1.2394789267658152E-2</v>
      </c>
      <c r="D137" s="6">
        <v>4.9640176334069357E-3</v>
      </c>
      <c r="E137" s="6">
        <v>3.9330594271234079E-3</v>
      </c>
      <c r="F137" s="11">
        <v>9.6834118497630024E-3</v>
      </c>
    </row>
    <row r="138" spans="2:6" x14ac:dyDescent="0.3">
      <c r="B138" s="2" t="s">
        <v>9</v>
      </c>
      <c r="C138" s="6">
        <v>2.2119813625627129E-3</v>
      </c>
      <c r="D138" s="6">
        <v>1.4234179662835726E-3</v>
      </c>
      <c r="E138" s="6">
        <v>2.2946220594106045E-3</v>
      </c>
      <c r="F138" s="11">
        <v>2.3835130763502437E-3</v>
      </c>
    </row>
    <row r="139" spans="2:6" x14ac:dyDescent="0.3">
      <c r="B139" s="2" t="s">
        <v>10</v>
      </c>
      <c r="C139" s="6">
        <v>2.4317715882938044E-4</v>
      </c>
      <c r="D139" s="6">
        <v>2.6839996424075441E-3</v>
      </c>
      <c r="E139" s="6">
        <v>1.2956606917324798E-3</v>
      </c>
      <c r="F139" s="11">
        <v>2.4031748018799978E-3</v>
      </c>
    </row>
    <row r="140" spans="2:6" x14ac:dyDescent="0.3">
      <c r="B140" s="2" t="s">
        <v>11</v>
      </c>
      <c r="C140" s="6">
        <v>0.12084264712762775</v>
      </c>
      <c r="D140" s="6">
        <v>8.5950919998854056E-2</v>
      </c>
      <c r="E140" s="6">
        <v>0.3296472960053089</v>
      </c>
      <c r="F140" s="11">
        <v>0.17033843594849721</v>
      </c>
    </row>
    <row r="141" spans="2:6" x14ac:dyDescent="0.3">
      <c r="B141" s="2" t="s">
        <v>12</v>
      </c>
      <c r="C141" s="6">
        <v>0.11190700270798304</v>
      </c>
      <c r="D141" s="6">
        <v>0.12895330094005666</v>
      </c>
      <c r="E141" s="6">
        <v>5.1980425714982681E-2</v>
      </c>
      <c r="F141" s="11">
        <v>4.4559462845357591E-2</v>
      </c>
    </row>
    <row r="142" spans="2:6" ht="17.25" thickBot="1" x14ac:dyDescent="0.35">
      <c r="B142" s="4" t="s">
        <v>13</v>
      </c>
      <c r="C142" s="31">
        <v>0.31842387526272142</v>
      </c>
      <c r="D142" s="31">
        <v>0.34876004346403144</v>
      </c>
      <c r="E142" s="31">
        <v>0.18036946519200578</v>
      </c>
      <c r="F142" s="33">
        <v>0.12796096147445893</v>
      </c>
    </row>
    <row r="143" spans="2:6" ht="17.25" thickBot="1" x14ac:dyDescent="0.35">
      <c r="B143" s="47"/>
      <c r="C143" s="48"/>
      <c r="D143" s="48"/>
      <c r="E143" s="48"/>
      <c r="F143" s="49"/>
    </row>
    <row r="144" spans="2:6" ht="17.25" thickBot="1" x14ac:dyDescent="0.35">
      <c r="B144" s="50"/>
      <c r="C144" s="51" t="s">
        <v>26</v>
      </c>
      <c r="D144" s="51" t="s">
        <v>28</v>
      </c>
      <c r="E144" s="51" t="s">
        <v>30</v>
      </c>
      <c r="F144" s="52" t="s">
        <v>32</v>
      </c>
    </row>
    <row r="145" spans="2:6" x14ac:dyDescent="0.3">
      <c r="B145" s="18" t="s">
        <v>14</v>
      </c>
      <c r="C145" s="27">
        <v>0.42917966438400768</v>
      </c>
      <c r="D145" s="27">
        <v>0.1067276038124</v>
      </c>
      <c r="E145" s="27">
        <v>0.13340133673516164</v>
      </c>
      <c r="F145" s="29">
        <v>0.26267875856408557</v>
      </c>
    </row>
    <row r="146" spans="2:6" x14ac:dyDescent="0.3">
      <c r="B146" s="2" t="s">
        <v>15</v>
      </c>
      <c r="C146" s="7">
        <v>9.6581753088113495E-2</v>
      </c>
      <c r="D146" s="7">
        <v>8.1050288693254396E-2</v>
      </c>
      <c r="E146" s="7">
        <v>8.2245077531631669E-2</v>
      </c>
      <c r="F146" s="12">
        <v>1.7852898948450928E-2</v>
      </c>
    </row>
    <row r="147" spans="2:6" x14ac:dyDescent="0.3">
      <c r="B147" s="3" t="s">
        <v>16</v>
      </c>
      <c r="C147" s="7">
        <v>1.0409277888752444</v>
      </c>
      <c r="D147" s="7">
        <v>1.0253694267352169</v>
      </c>
      <c r="E147" s="7">
        <v>1.4312485164185267</v>
      </c>
      <c r="F147" s="12">
        <v>0.49516226439749134</v>
      </c>
    </row>
    <row r="148" spans="2:6" x14ac:dyDescent="0.3">
      <c r="B148" s="2" t="s">
        <v>17</v>
      </c>
      <c r="C148" s="7">
        <v>0.3193431177365299</v>
      </c>
      <c r="D148" s="7">
        <v>0.19209119370360808</v>
      </c>
      <c r="E148" s="7">
        <v>0.25428965099049183</v>
      </c>
      <c r="F148" s="12">
        <v>0.31906925011573573</v>
      </c>
    </row>
    <row r="149" spans="2:6" x14ac:dyDescent="0.3">
      <c r="B149" s="2"/>
      <c r="C149" s="7"/>
      <c r="D149" s="7"/>
      <c r="E149" s="7"/>
      <c r="F149" s="12"/>
    </row>
    <row r="150" spans="2:6" ht="17.25" thickBot="1" x14ac:dyDescent="0.35">
      <c r="B150" s="4" t="s">
        <v>18</v>
      </c>
      <c r="C150" s="9">
        <v>9.3187516895579345E-2</v>
      </c>
      <c r="D150" s="9">
        <v>0.26734987001785543</v>
      </c>
      <c r="E150" s="9">
        <v>0.45462816298999875</v>
      </c>
      <c r="F150" s="14">
        <v>0.3653833739888821</v>
      </c>
    </row>
  </sheetData>
  <mergeCells count="10">
    <mergeCell ref="B3:B4"/>
    <mergeCell ref="B2:G2"/>
    <mergeCell ref="B103:B104"/>
    <mergeCell ref="B128:B129"/>
    <mergeCell ref="B27:G27"/>
    <mergeCell ref="B28:B29"/>
    <mergeCell ref="B52:G52"/>
    <mergeCell ref="B53:B54"/>
    <mergeCell ref="B77:G77"/>
    <mergeCell ref="B78:B79"/>
  </mergeCells>
  <phoneticPr fontId="1" type="noConversion"/>
  <conditionalFormatting sqref="C30:C31">
    <cfRule type="dataBar" priority="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{20D98EC8-EA6D-4C60-9AB3-2E4C361DE8B6}</x14:id>
        </ext>
      </extLst>
    </cfRule>
  </conditionalFormatting>
  <conditionalFormatting sqref="C32:C3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{990800CE-7A66-4771-8090-9769D5EA820B}</x14:id>
        </ext>
      </extLst>
    </cfRule>
  </conditionalFormatting>
  <conditionalFormatting sqref="C55:C56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{13C25EC9-B1D6-416A-9DF9-A0A65DCD39A5}</x14:id>
        </ext>
      </extLst>
    </cfRule>
  </conditionalFormatting>
  <conditionalFormatting sqref="C57:C64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{131206BE-70CC-4498-9C95-CB25FFF8BF58}</x14:id>
        </ext>
      </extLst>
    </cfRule>
  </conditionalFormatting>
  <conditionalFormatting sqref="C80:C81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{22AFBFB6-0B8F-4015-AEF5-8A853397EC7D}</x14:id>
        </ext>
      </extLst>
    </cfRule>
  </conditionalFormatting>
  <conditionalFormatting sqref="C82:C8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{94E07270-378B-4D1A-A396-85DE3C0CDB03}</x14:id>
        </ext>
      </extLst>
    </cfRule>
  </conditionalFormatting>
  <conditionalFormatting sqref="C105:C106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{719F6314-F760-4DC1-B7E4-5D0716626070}</x14:id>
        </ext>
      </extLst>
    </cfRule>
  </conditionalFormatting>
  <conditionalFormatting sqref="C107:C114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{C649F1DE-1D45-4858-8DF0-A4B83D72FBEC}</x14:id>
        </ext>
      </extLst>
    </cfRule>
  </conditionalFormatting>
  <conditionalFormatting sqref="C5:E6">
    <cfRule type="dataBar" priority="4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{46053DD4-396F-441C-971E-2839F5882040}</x14:id>
        </ext>
      </extLst>
    </cfRule>
  </conditionalFormatting>
  <conditionalFormatting sqref="C7:E1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{EB3104D7-8699-4A53-AE8D-29C249C96DD0}</x14:id>
        </ext>
      </extLst>
    </cfRule>
  </conditionalFormatting>
  <conditionalFormatting sqref="D30:D31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{FEB0CB74-2F52-4486-BD5D-4A67103CEBB2}</x14:id>
        </ext>
      </extLst>
    </cfRule>
  </conditionalFormatting>
  <conditionalFormatting sqref="D32:D3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{69F979D0-BF50-4D37-9458-44E40A15A89B}</x14:id>
        </ext>
      </extLst>
    </cfRule>
  </conditionalFormatting>
  <conditionalFormatting sqref="D55:D56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{DA319999-06C1-4414-9A88-85F285AB5116}</x14:id>
        </ext>
      </extLst>
    </cfRule>
  </conditionalFormatting>
  <conditionalFormatting sqref="D57:D6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{F0CD1CD2-DD7D-4A13-BBA2-1FF8505FD096}</x14:id>
        </ext>
      </extLst>
    </cfRule>
  </conditionalFormatting>
  <conditionalFormatting sqref="D80:D81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{119E7F2A-9A11-425E-97C1-C227D943B76F}</x14:id>
        </ext>
      </extLst>
    </cfRule>
  </conditionalFormatting>
  <conditionalFormatting sqref="D82:D8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{F2CD8FD0-F839-4D65-8C71-41CB820E52EB}</x14:id>
        </ext>
      </extLst>
    </cfRule>
  </conditionalFormatting>
  <conditionalFormatting sqref="D105:D106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{53142E2F-E5B3-4A61-A742-424C340A4579}</x14:id>
        </ext>
      </extLst>
    </cfRule>
  </conditionalFormatting>
  <conditionalFormatting sqref="D107:D11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{7857399D-5D81-4B23-9402-38DAB72918FA}</x14:id>
        </ext>
      </extLst>
    </cfRule>
  </conditionalFormatting>
  <conditionalFormatting sqref="E30:E31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{AC6DAB2C-2E8D-4D7A-B4A5-7A6DDB93C861}</x14:id>
        </ext>
      </extLst>
    </cfRule>
  </conditionalFormatting>
  <conditionalFormatting sqref="E32:E3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{8E16CAF5-7F80-4AD8-8606-B5033D414ECD}</x14:id>
        </ext>
      </extLst>
    </cfRule>
  </conditionalFormatting>
  <conditionalFormatting sqref="E55:E56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{922D441C-E1BF-49B3-860B-851B2592B578}</x14:id>
        </ext>
      </extLst>
    </cfRule>
  </conditionalFormatting>
  <conditionalFormatting sqref="E57:E6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{FC9B3CC0-D4C5-4533-9C11-7C3CDB761C7C}</x14:id>
        </ext>
      </extLst>
    </cfRule>
  </conditionalFormatting>
  <conditionalFormatting sqref="E80:E81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{8E3FA7B6-04A0-4572-8775-D37AA2A7371A}</x14:id>
        </ext>
      </extLst>
    </cfRule>
  </conditionalFormatting>
  <conditionalFormatting sqref="E82:E8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{32B3EB19-2618-4036-9DF9-F3BA49C047BA}</x14:id>
        </ext>
      </extLst>
    </cfRule>
  </conditionalFormatting>
  <conditionalFormatting sqref="E105:E10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{05085B30-5A73-43BA-A3B8-280CFB68DDF1}</x14:id>
        </ext>
      </extLst>
    </cfRule>
  </conditionalFormatting>
  <conditionalFormatting sqref="E107:E11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{33D6495A-6AF0-466E-9751-45665D00FD18}</x14:id>
        </ext>
      </extLst>
    </cfRule>
  </conditionalFormatting>
  <conditionalFormatting sqref="F5:F14">
    <cfRule type="dataBar" priority="3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{C581A1D7-EA6B-46D0-B5FC-A67F15516F69}</x14:id>
        </ext>
      </extLst>
    </cfRule>
  </conditionalFormatting>
  <conditionalFormatting sqref="F7:F1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{5B2214FA-BE77-40B9-BC72-43AF7771BA2E}</x14:id>
        </ext>
      </extLst>
    </cfRule>
  </conditionalFormatting>
  <conditionalFormatting sqref="F30:F39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{B819537D-720F-4933-A9FC-3E31A2D4565C}</x14:id>
        </ext>
      </extLst>
    </cfRule>
  </conditionalFormatting>
  <conditionalFormatting sqref="F32:F39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{33946AEB-FCCF-4E40-9A5C-885E34F013BD}</x14:id>
        </ext>
      </extLst>
    </cfRule>
  </conditionalFormatting>
  <conditionalFormatting sqref="F55:F64">
    <cfRule type="dataBar" priority="3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{670BA420-DBF1-410D-9A9B-EEE12DC270CE}</x14:id>
        </ext>
      </extLst>
    </cfRule>
  </conditionalFormatting>
  <conditionalFormatting sqref="F57:F6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{E6777B58-C963-4E70-AA79-4253013823E1}</x14:id>
        </ext>
      </extLst>
    </cfRule>
  </conditionalFormatting>
  <conditionalFormatting sqref="F80:F89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{DFE432B6-1506-4FF4-A55C-8491A68F2325}</x14:id>
        </ext>
      </extLst>
    </cfRule>
  </conditionalFormatting>
  <conditionalFormatting sqref="F82:F8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{1F40FF64-EC58-493D-A57A-C369C8B8F298}</x14:id>
        </ext>
      </extLst>
    </cfRule>
  </conditionalFormatting>
  <conditionalFormatting sqref="F105:F10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{CB8EFFFD-16AF-4A99-9EDA-16CC08AAE4B7}</x14:id>
        </ext>
      </extLst>
    </cfRule>
  </conditionalFormatting>
  <conditionalFormatting sqref="F107:F1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{3ED26444-8446-4E69-A5B2-88C316ABE01D}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D98EC8-EA6D-4C60-9AB3-2E4C361DE8B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C30:C31</xm:sqref>
        </x14:conditionalFormatting>
        <x14:conditionalFormatting xmlns:xm="http://schemas.microsoft.com/office/excel/2006/main">
          <x14:cfRule type="dataBar" id="{990800CE-7A66-4771-8090-9769D5EA82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C32:C39</xm:sqref>
        </x14:conditionalFormatting>
        <x14:conditionalFormatting xmlns:xm="http://schemas.microsoft.com/office/excel/2006/main">
          <x14:cfRule type="dataBar" id="{13C25EC9-B1D6-416A-9DF9-A0A65DCD39A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C55:C56</xm:sqref>
        </x14:conditionalFormatting>
        <x14:conditionalFormatting xmlns:xm="http://schemas.microsoft.com/office/excel/2006/main">
          <x14:cfRule type="dataBar" id="{131206BE-70CC-4498-9C95-CB25FFF8BF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C57:C64</xm:sqref>
        </x14:conditionalFormatting>
        <x14:conditionalFormatting xmlns:xm="http://schemas.microsoft.com/office/excel/2006/main">
          <x14:cfRule type="dataBar" id="{22AFBFB6-0B8F-4015-AEF5-8A853397EC7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C80:C81</xm:sqref>
        </x14:conditionalFormatting>
        <x14:conditionalFormatting xmlns:xm="http://schemas.microsoft.com/office/excel/2006/main">
          <x14:cfRule type="dataBar" id="{94E07270-378B-4D1A-A396-85DE3C0CDB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C82:C89</xm:sqref>
        </x14:conditionalFormatting>
        <x14:conditionalFormatting xmlns:xm="http://schemas.microsoft.com/office/excel/2006/main">
          <x14:cfRule type="dataBar" id="{719F6314-F760-4DC1-B7E4-5D071662607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C105:C106</xm:sqref>
        </x14:conditionalFormatting>
        <x14:conditionalFormatting xmlns:xm="http://schemas.microsoft.com/office/excel/2006/main">
          <x14:cfRule type="dataBar" id="{C649F1DE-1D45-4858-8DF0-A4B83D72FB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C107:C114</xm:sqref>
        </x14:conditionalFormatting>
        <x14:conditionalFormatting xmlns:xm="http://schemas.microsoft.com/office/excel/2006/main">
          <x14:cfRule type="dataBar" id="{46053DD4-396F-441C-971E-2839F588204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C5:E6</xm:sqref>
        </x14:conditionalFormatting>
        <x14:conditionalFormatting xmlns:xm="http://schemas.microsoft.com/office/excel/2006/main">
          <x14:cfRule type="dataBar" id="{EB3104D7-8699-4A53-AE8D-29C249C96D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C7:E14</xm:sqref>
        </x14:conditionalFormatting>
        <x14:conditionalFormatting xmlns:xm="http://schemas.microsoft.com/office/excel/2006/main">
          <x14:cfRule type="dataBar" id="{FEB0CB74-2F52-4486-BD5D-4A67103CEBB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D30:D31</xm:sqref>
        </x14:conditionalFormatting>
        <x14:conditionalFormatting xmlns:xm="http://schemas.microsoft.com/office/excel/2006/main">
          <x14:cfRule type="dataBar" id="{69F979D0-BF50-4D37-9458-44E40A15A8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D32:D39</xm:sqref>
        </x14:conditionalFormatting>
        <x14:conditionalFormatting xmlns:xm="http://schemas.microsoft.com/office/excel/2006/main">
          <x14:cfRule type="dataBar" id="{DA319999-06C1-4414-9A88-85F285AB511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D55:D56</xm:sqref>
        </x14:conditionalFormatting>
        <x14:conditionalFormatting xmlns:xm="http://schemas.microsoft.com/office/excel/2006/main">
          <x14:cfRule type="dataBar" id="{F0CD1CD2-DD7D-4A13-BBA2-1FF8505FD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D57:D64</xm:sqref>
        </x14:conditionalFormatting>
        <x14:conditionalFormatting xmlns:xm="http://schemas.microsoft.com/office/excel/2006/main">
          <x14:cfRule type="dataBar" id="{119E7F2A-9A11-425E-97C1-C227D943B76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D80:D81</xm:sqref>
        </x14:conditionalFormatting>
        <x14:conditionalFormatting xmlns:xm="http://schemas.microsoft.com/office/excel/2006/main">
          <x14:cfRule type="dataBar" id="{F2CD8FD0-F839-4D65-8C71-41CB820E52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D82:D89</xm:sqref>
        </x14:conditionalFormatting>
        <x14:conditionalFormatting xmlns:xm="http://schemas.microsoft.com/office/excel/2006/main">
          <x14:cfRule type="dataBar" id="{53142E2F-E5B3-4A61-A742-424C340A457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D105:D106</xm:sqref>
        </x14:conditionalFormatting>
        <x14:conditionalFormatting xmlns:xm="http://schemas.microsoft.com/office/excel/2006/main">
          <x14:cfRule type="dataBar" id="{7857399D-5D81-4B23-9402-38DAB72918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D107:D114</xm:sqref>
        </x14:conditionalFormatting>
        <x14:conditionalFormatting xmlns:xm="http://schemas.microsoft.com/office/excel/2006/main">
          <x14:cfRule type="dataBar" id="{AC6DAB2C-2E8D-4D7A-B4A5-7A6DDB93C86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E30:E31</xm:sqref>
        </x14:conditionalFormatting>
        <x14:conditionalFormatting xmlns:xm="http://schemas.microsoft.com/office/excel/2006/main">
          <x14:cfRule type="dataBar" id="{8E16CAF5-7F80-4AD8-8606-B5033D414E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E32:E39</xm:sqref>
        </x14:conditionalFormatting>
        <x14:conditionalFormatting xmlns:xm="http://schemas.microsoft.com/office/excel/2006/main">
          <x14:cfRule type="dataBar" id="{922D441C-E1BF-49B3-860B-851B2592B57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E55:E56</xm:sqref>
        </x14:conditionalFormatting>
        <x14:conditionalFormatting xmlns:xm="http://schemas.microsoft.com/office/excel/2006/main">
          <x14:cfRule type="dataBar" id="{FC9B3CC0-D4C5-4533-9C11-7C3CDB761C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E57:E64</xm:sqref>
        </x14:conditionalFormatting>
        <x14:conditionalFormatting xmlns:xm="http://schemas.microsoft.com/office/excel/2006/main">
          <x14:cfRule type="dataBar" id="{8E3FA7B6-04A0-4572-8775-D37AA2A7371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E80:E81</xm:sqref>
        </x14:conditionalFormatting>
        <x14:conditionalFormatting xmlns:xm="http://schemas.microsoft.com/office/excel/2006/main">
          <x14:cfRule type="dataBar" id="{32B3EB19-2618-4036-9DF9-F3BA49C047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E82:E89</xm:sqref>
        </x14:conditionalFormatting>
        <x14:conditionalFormatting xmlns:xm="http://schemas.microsoft.com/office/excel/2006/main">
          <x14:cfRule type="dataBar" id="{05085B30-5A73-43BA-A3B8-280CFB68DDF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E105:E106</xm:sqref>
        </x14:conditionalFormatting>
        <x14:conditionalFormatting xmlns:xm="http://schemas.microsoft.com/office/excel/2006/main">
          <x14:cfRule type="dataBar" id="{33D6495A-6AF0-466E-9751-45665D00FD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E107:E114</xm:sqref>
        </x14:conditionalFormatting>
        <x14:conditionalFormatting xmlns:xm="http://schemas.microsoft.com/office/excel/2006/main">
          <x14:cfRule type="dataBar" id="{C581A1D7-EA6B-46D0-B5FC-A67F15516F6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F5:F14</xm:sqref>
        </x14:conditionalFormatting>
        <x14:conditionalFormatting xmlns:xm="http://schemas.microsoft.com/office/excel/2006/main">
          <x14:cfRule type="dataBar" id="{5B2214FA-BE77-40B9-BC72-43AF7771BA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F7:F14</xm:sqref>
        </x14:conditionalFormatting>
        <x14:conditionalFormatting xmlns:xm="http://schemas.microsoft.com/office/excel/2006/main">
          <x14:cfRule type="dataBar" id="{B819537D-720F-4933-A9FC-3E31A2D4565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F30:F39</xm:sqref>
        </x14:conditionalFormatting>
        <x14:conditionalFormatting xmlns:xm="http://schemas.microsoft.com/office/excel/2006/main">
          <x14:cfRule type="dataBar" id="{33946AEB-FCCF-4E40-9A5C-885E34F013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F32:F39</xm:sqref>
        </x14:conditionalFormatting>
        <x14:conditionalFormatting xmlns:xm="http://schemas.microsoft.com/office/excel/2006/main">
          <x14:cfRule type="dataBar" id="{670BA420-DBF1-410D-9A9B-EEE12DC270C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F55:F64</xm:sqref>
        </x14:conditionalFormatting>
        <x14:conditionalFormatting xmlns:xm="http://schemas.microsoft.com/office/excel/2006/main">
          <x14:cfRule type="dataBar" id="{E6777B58-C963-4E70-AA79-4253013823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F57:F64</xm:sqref>
        </x14:conditionalFormatting>
        <x14:conditionalFormatting xmlns:xm="http://schemas.microsoft.com/office/excel/2006/main">
          <x14:cfRule type="dataBar" id="{DFE432B6-1506-4FF4-A55C-8491A68F232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F80:F89</xm:sqref>
        </x14:conditionalFormatting>
        <x14:conditionalFormatting xmlns:xm="http://schemas.microsoft.com/office/excel/2006/main">
          <x14:cfRule type="dataBar" id="{1F40FF64-EC58-493D-A57A-C369C8B8F2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F82:F89</xm:sqref>
        </x14:conditionalFormatting>
        <x14:conditionalFormatting xmlns:xm="http://schemas.microsoft.com/office/excel/2006/main">
          <x14:cfRule type="dataBar" id="{CB8EFFFD-16AF-4A99-9EDA-16CC08AAE4B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F105:F106</xm:sqref>
        </x14:conditionalFormatting>
        <x14:conditionalFormatting xmlns:xm="http://schemas.microsoft.com/office/excel/2006/main">
          <x14:cfRule type="dataBar" id="{3ED26444-8446-4E69-A5B2-88C316ABE0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F107:F114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1913F-7CF2-4B25-81CF-69FD0890AA7B}">
  <dimension ref="B1:G125"/>
  <sheetViews>
    <sheetView topLeftCell="A75" workbookViewId="0">
      <selection activeCell="F80" sqref="F80"/>
    </sheetView>
  </sheetViews>
  <sheetFormatPr defaultRowHeight="16.5" x14ac:dyDescent="0.3"/>
  <cols>
    <col min="2" max="7" width="15.625" customWidth="1"/>
  </cols>
  <sheetData>
    <row r="1" spans="2:7" ht="17.25" thickBot="1" x14ac:dyDescent="0.35"/>
    <row r="2" spans="2:7" ht="17.25" thickBot="1" x14ac:dyDescent="0.35">
      <c r="B2" s="57"/>
      <c r="C2" s="58"/>
      <c r="D2" s="58"/>
      <c r="E2" s="58"/>
      <c r="F2" s="58"/>
      <c r="G2" s="59"/>
    </row>
    <row r="3" spans="2:7" x14ac:dyDescent="0.3">
      <c r="B3" s="60" t="s">
        <v>35</v>
      </c>
      <c r="C3" s="34">
        <v>46030</v>
      </c>
      <c r="D3" s="34">
        <v>46051</v>
      </c>
      <c r="E3" s="35">
        <v>46065</v>
      </c>
      <c r="F3" s="15" t="s">
        <v>20</v>
      </c>
      <c r="G3" s="16" t="s">
        <v>21</v>
      </c>
    </row>
    <row r="4" spans="2:7" x14ac:dyDescent="0.3">
      <c r="B4" s="61"/>
      <c r="C4" s="6" t="s">
        <v>19</v>
      </c>
      <c r="D4" s="6" t="s">
        <v>19</v>
      </c>
      <c r="E4" s="11" t="s">
        <v>19</v>
      </c>
      <c r="F4" s="17" t="s">
        <v>19</v>
      </c>
      <c r="G4" s="11"/>
    </row>
    <row r="5" spans="2:7" x14ac:dyDescent="0.3">
      <c r="B5" s="2" t="s">
        <v>1</v>
      </c>
      <c r="C5" s="6">
        <v>1.7787919745671703</v>
      </c>
      <c r="D5" s="6">
        <v>2.3021010437582397</v>
      </c>
      <c r="E5" s="11">
        <v>1.946515022969864</v>
      </c>
      <c r="F5" s="2">
        <f>AVERAGE(C5:E5)</f>
        <v>2.0091360137650915</v>
      </c>
      <c r="G5" s="11">
        <f>_xlfn.STDEV.P(C5:E5)</f>
        <v>0.21818056259367416</v>
      </c>
    </row>
    <row r="6" spans="2:7" x14ac:dyDescent="0.3">
      <c r="B6" s="2" t="s">
        <v>2</v>
      </c>
      <c r="C6" s="6">
        <v>5.3582646459026222</v>
      </c>
      <c r="D6" s="6">
        <v>3.8547515715124492</v>
      </c>
      <c r="E6" s="11">
        <v>4.8445384944466063</v>
      </c>
      <c r="F6" s="2">
        <f t="shared" ref="F6:F17" si="0">AVERAGE(C6:E6)</f>
        <v>4.6858515706205592</v>
      </c>
      <c r="G6" s="11">
        <f t="shared" ref="G6:G17" si="1">_xlfn.STDEV.P(C6:E6)</f>
        <v>0.62397865671862907</v>
      </c>
    </row>
    <row r="7" spans="2:7" x14ac:dyDescent="0.3">
      <c r="B7" s="2" t="s">
        <v>3</v>
      </c>
      <c r="C7" s="6">
        <v>0.23552959607134813</v>
      </c>
      <c r="D7" s="6">
        <v>0.20022179238552759</v>
      </c>
      <c r="E7" s="11">
        <v>0.21511482597267734</v>
      </c>
      <c r="F7" s="2">
        <f t="shared" si="0"/>
        <v>0.21695540480985101</v>
      </c>
      <c r="G7" s="11">
        <f t="shared" si="1"/>
        <v>1.4472987439157113E-2</v>
      </c>
    </row>
    <row r="8" spans="2:7" x14ac:dyDescent="0.3">
      <c r="B8" s="2" t="s">
        <v>4</v>
      </c>
      <c r="C8" s="6">
        <v>0.25114997614724044</v>
      </c>
      <c r="D8" s="6">
        <v>0.23367962587108076</v>
      </c>
      <c r="E8" s="11">
        <v>0.24092085680045974</v>
      </c>
      <c r="F8" s="2">
        <f t="shared" si="0"/>
        <v>0.24191681960626032</v>
      </c>
      <c r="G8" s="11">
        <f t="shared" si="1"/>
        <v>7.1669259391472116E-3</v>
      </c>
    </row>
    <row r="9" spans="2:7" x14ac:dyDescent="0.3">
      <c r="B9" s="2" t="s">
        <v>5</v>
      </c>
      <c r="C9" s="6">
        <v>0.27721426362695395</v>
      </c>
      <c r="D9" s="6">
        <v>0.22978295682974048</v>
      </c>
      <c r="E9" s="11">
        <v>0.20881621957324276</v>
      </c>
      <c r="F9" s="2">
        <f t="shared" si="0"/>
        <v>0.23860448000997905</v>
      </c>
      <c r="G9" s="11">
        <f t="shared" si="1"/>
        <v>2.8611624222892051E-2</v>
      </c>
    </row>
    <row r="10" spans="2:7" x14ac:dyDescent="0.3">
      <c r="B10" s="2" t="s">
        <v>6</v>
      </c>
      <c r="C10" s="6">
        <v>0.57366661589345436</v>
      </c>
      <c r="D10" s="6">
        <v>0.43608795308252501</v>
      </c>
      <c r="E10" s="11">
        <v>0.38509747133457584</v>
      </c>
      <c r="F10" s="2">
        <f t="shared" si="0"/>
        <v>0.46495068010351837</v>
      </c>
      <c r="G10" s="11">
        <f t="shared" si="1"/>
        <v>7.9642423068082363E-2</v>
      </c>
    </row>
    <row r="11" spans="2:7" x14ac:dyDescent="0.3">
      <c r="B11" s="2" t="s">
        <v>7</v>
      </c>
      <c r="C11" s="6">
        <v>0.60924846072097716</v>
      </c>
      <c r="D11" s="6">
        <v>0.47663928727279237</v>
      </c>
      <c r="E11" s="11">
        <v>0.54874644143063034</v>
      </c>
      <c r="F11" s="2">
        <f t="shared" si="0"/>
        <v>0.54487806314146658</v>
      </c>
      <c r="G11" s="11">
        <f t="shared" si="1"/>
        <v>5.4206527796282648E-2</v>
      </c>
    </row>
    <row r="12" spans="2:7" x14ac:dyDescent="0.3">
      <c r="B12" s="2" t="s">
        <v>8</v>
      </c>
      <c r="C12" s="6">
        <v>0.23266339872031905</v>
      </c>
      <c r="D12" s="6">
        <v>0.25277563859818863</v>
      </c>
      <c r="E12" s="11">
        <v>0.30506380839876013</v>
      </c>
      <c r="F12" s="2">
        <f t="shared" si="0"/>
        <v>0.26350094857242262</v>
      </c>
      <c r="G12" s="11">
        <f t="shared" si="1"/>
        <v>3.0514794618720871E-2</v>
      </c>
    </row>
    <row r="13" spans="2:7" x14ac:dyDescent="0.3">
      <c r="B13" s="2" t="s">
        <v>9</v>
      </c>
      <c r="C13" s="6">
        <v>4.0980159823607254E-2</v>
      </c>
      <c r="D13" s="6">
        <v>4.0979074858678431E-2</v>
      </c>
      <c r="E13" s="11">
        <v>6.1554174774735883E-2</v>
      </c>
      <c r="F13" s="2">
        <f t="shared" si="0"/>
        <v>4.783780315234052E-2</v>
      </c>
      <c r="G13" s="11">
        <f t="shared" si="1"/>
        <v>9.6989393975845627E-3</v>
      </c>
    </row>
    <row r="14" spans="2:7" x14ac:dyDescent="0.3">
      <c r="B14" s="2" t="s">
        <v>10</v>
      </c>
      <c r="C14" s="6">
        <v>1.6497436220315159E-2</v>
      </c>
      <c r="D14" s="6">
        <v>1.3666447731170192E-2</v>
      </c>
      <c r="E14" s="11">
        <v>2.1578046991093638E-2</v>
      </c>
      <c r="F14" s="2">
        <f t="shared" si="0"/>
        <v>1.7247310314192996E-2</v>
      </c>
      <c r="G14" s="11">
        <f t="shared" si="1"/>
        <v>3.2731314343614061E-3</v>
      </c>
    </row>
    <row r="15" spans="2:7" x14ac:dyDescent="0.3">
      <c r="B15" s="2" t="s">
        <v>11</v>
      </c>
      <c r="C15" s="6">
        <v>0.96818376824466257</v>
      </c>
      <c r="D15" s="6">
        <v>0.67331735471316745</v>
      </c>
      <c r="E15" s="11">
        <v>1.6081374519335034</v>
      </c>
      <c r="F15" s="2">
        <f t="shared" si="0"/>
        <v>1.0832128582971112</v>
      </c>
      <c r="G15" s="11">
        <f t="shared" si="1"/>
        <v>0.39021013331321908</v>
      </c>
    </row>
    <row r="16" spans="2:7" x14ac:dyDescent="0.3">
      <c r="B16" s="2" t="s">
        <v>12</v>
      </c>
      <c r="C16" s="6">
        <v>0.93929899193640576</v>
      </c>
      <c r="D16" s="6">
        <v>1.6214478016804343</v>
      </c>
      <c r="E16" s="11">
        <v>0.74480611386043893</v>
      </c>
      <c r="F16" s="2">
        <f t="shared" si="0"/>
        <v>1.101850969159093</v>
      </c>
      <c r="G16" s="11">
        <f t="shared" si="1"/>
        <v>0.37589229058355383</v>
      </c>
    </row>
    <row r="17" spans="2:7" x14ac:dyDescent="0.3">
      <c r="B17" s="2" t="s">
        <v>13</v>
      </c>
      <c r="C17" s="6">
        <v>2.6167563931233104</v>
      </c>
      <c r="D17" s="6">
        <v>3.0016026930819262</v>
      </c>
      <c r="E17" s="11">
        <v>2.9301319933508889</v>
      </c>
      <c r="F17" s="2">
        <f t="shared" si="0"/>
        <v>2.8494970265187085</v>
      </c>
      <c r="G17" s="11">
        <f t="shared" si="1"/>
        <v>0.16713899815219535</v>
      </c>
    </row>
    <row r="18" spans="2:7" x14ac:dyDescent="0.3">
      <c r="B18" s="2"/>
      <c r="C18" s="6"/>
      <c r="D18" s="6"/>
      <c r="E18" s="11"/>
      <c r="F18" s="18"/>
      <c r="G18" s="19"/>
    </row>
    <row r="19" spans="2:7" ht="17.25" thickBot="1" x14ac:dyDescent="0.35">
      <c r="B19" s="4"/>
      <c r="C19" s="31"/>
      <c r="D19" s="31"/>
      <c r="E19" s="33"/>
      <c r="F19" s="4"/>
      <c r="G19" s="33"/>
    </row>
    <row r="20" spans="2:7" x14ac:dyDescent="0.3">
      <c r="B20" s="18" t="s">
        <v>14</v>
      </c>
      <c r="C20" s="27">
        <v>9.3740065276940072</v>
      </c>
      <c r="D20" s="27">
        <v>8.0406853919003929</v>
      </c>
      <c r="E20" s="29">
        <v>8.7779453626926465</v>
      </c>
      <c r="F20" s="30">
        <f>AVERAGE(C20:E20)</f>
        <v>8.7308790940956822</v>
      </c>
      <c r="G20" s="29">
        <f>_xlfn.STDEV.P(C20:E20)</f>
        <v>0.54534254557310102</v>
      </c>
    </row>
    <row r="21" spans="2:7" x14ac:dyDescent="0.3">
      <c r="B21" s="2" t="s">
        <v>15</v>
      </c>
      <c r="C21" s="7">
        <v>1.750270335005627</v>
      </c>
      <c r="D21" s="7">
        <v>1.4499313583730951</v>
      </c>
      <c r="E21" s="12">
        <v>1.5308561625030384</v>
      </c>
      <c r="F21" s="20">
        <f>AVERAGE(C21:E21)</f>
        <v>1.5770192852939202</v>
      </c>
      <c r="G21" s="12">
        <f>_xlfn.STDEV.P(C21:E21)</f>
        <v>0.12688354411434044</v>
      </c>
    </row>
    <row r="22" spans="2:7" x14ac:dyDescent="0.3">
      <c r="B22" s="3" t="s">
        <v>16</v>
      </c>
      <c r="C22" s="8">
        <v>18.671528869056498</v>
      </c>
      <c r="D22" s="8">
        <v>18.032434894588111</v>
      </c>
      <c r="E22" s="13">
        <v>17.439800537029615</v>
      </c>
      <c r="F22" s="21">
        <f>AVERAGE(C22:E22)</f>
        <v>18.047921433558074</v>
      </c>
      <c r="G22" s="12">
        <f>_xlfn.STDEV.P(C22:E22)</f>
        <v>0.5029702082936145</v>
      </c>
    </row>
    <row r="23" spans="2:7" x14ac:dyDescent="0.3">
      <c r="B23" s="2" t="s">
        <v>17</v>
      </c>
      <c r="C23" s="7">
        <v>10.34219029593867</v>
      </c>
      <c r="D23" s="7">
        <v>8.714002746613561</v>
      </c>
      <c r="E23" s="12">
        <v>10.38608281462615</v>
      </c>
      <c r="F23" s="20">
        <f>AVERAGE(C23:E23)</f>
        <v>9.8140919523927934</v>
      </c>
      <c r="G23" s="12">
        <f>_xlfn.STDEV.P(C23:E23)</f>
        <v>0.77808689908997075</v>
      </c>
    </row>
    <row r="24" spans="2:7" x14ac:dyDescent="0.3">
      <c r="B24" s="2"/>
      <c r="C24" s="7"/>
      <c r="D24" s="7"/>
      <c r="E24" s="12"/>
      <c r="F24" s="20"/>
      <c r="G24" s="12"/>
    </row>
    <row r="25" spans="2:7" ht="17.25" thickBot="1" x14ac:dyDescent="0.35">
      <c r="B25" s="4" t="s">
        <v>18</v>
      </c>
      <c r="C25" s="9">
        <f>SUM(C5:C17)</f>
        <v>13.898245680998386</v>
      </c>
      <c r="D25" s="9">
        <f>SUM(D5:D17)</f>
        <v>13.337053241375921</v>
      </c>
      <c r="E25" s="14">
        <f>SUM(E5:E17)</f>
        <v>14.061020921837477</v>
      </c>
      <c r="F25" s="22">
        <f>AVERAGE(C25:E25)</f>
        <v>13.765439948070593</v>
      </c>
      <c r="G25" s="14">
        <f>_xlfn.STDEV.P(C25:E25)</f>
        <v>0.31011860377613287</v>
      </c>
    </row>
    <row r="26" spans="2:7" ht="17.25" thickBot="1" x14ac:dyDescent="0.35"/>
    <row r="27" spans="2:7" ht="17.25" thickBot="1" x14ac:dyDescent="0.35">
      <c r="B27" s="57"/>
      <c r="C27" s="58"/>
      <c r="D27" s="58"/>
      <c r="E27" s="58"/>
      <c r="F27" s="58"/>
      <c r="G27" s="59"/>
    </row>
    <row r="28" spans="2:7" x14ac:dyDescent="0.3">
      <c r="B28" s="60" t="s">
        <v>36</v>
      </c>
      <c r="C28" s="36">
        <v>46091</v>
      </c>
      <c r="D28" s="36">
        <v>46098</v>
      </c>
      <c r="E28" s="36">
        <v>46100</v>
      </c>
      <c r="F28" s="15" t="s">
        <v>20</v>
      </c>
      <c r="G28" s="16" t="s">
        <v>21</v>
      </c>
    </row>
    <row r="29" spans="2:7" x14ac:dyDescent="0.3">
      <c r="B29" s="61"/>
      <c r="C29" s="23" t="s">
        <v>19</v>
      </c>
      <c r="D29" s="23" t="s">
        <v>19</v>
      </c>
      <c r="E29" s="24" t="s">
        <v>19</v>
      </c>
      <c r="F29" s="17" t="s">
        <v>19</v>
      </c>
      <c r="G29" s="11"/>
    </row>
    <row r="30" spans="2:7" x14ac:dyDescent="0.3">
      <c r="B30" s="2" t="s">
        <v>1</v>
      </c>
      <c r="C30" s="6">
        <v>1.6225730892958492</v>
      </c>
      <c r="D30" s="6">
        <v>1.695101699830236</v>
      </c>
      <c r="E30" s="11">
        <v>2.1504339713509313</v>
      </c>
      <c r="F30" s="2">
        <f>AVERAGE(C30:E30)</f>
        <v>1.8227029201590055</v>
      </c>
      <c r="G30" s="11">
        <f>_xlfn.STDEV.P(C30:E30)</f>
        <v>0.23362481499623183</v>
      </c>
    </row>
    <row r="31" spans="2:7" x14ac:dyDescent="0.3">
      <c r="B31" s="2" t="s">
        <v>2</v>
      </c>
      <c r="C31" s="6">
        <v>4.7233534767160092</v>
      </c>
      <c r="D31" s="6">
        <v>4.7366573691716702</v>
      </c>
      <c r="E31" s="11">
        <v>5.2394037280461925</v>
      </c>
      <c r="F31" s="2">
        <f t="shared" ref="F31:F42" si="2">AVERAGE(C31:E31)</f>
        <v>4.8998048579779576</v>
      </c>
      <c r="G31" s="11">
        <f t="shared" ref="G31:G42" si="3">_xlfn.STDEV.P(C31:E31)</f>
        <v>0.24019407819835262</v>
      </c>
    </row>
    <row r="32" spans="2:7" x14ac:dyDescent="0.3">
      <c r="B32" s="2" t="s">
        <v>3</v>
      </c>
      <c r="C32" s="6">
        <v>0.20242175127251544</v>
      </c>
      <c r="D32" s="6">
        <v>0.25173974208323324</v>
      </c>
      <c r="E32" s="11">
        <v>0.24041484315719922</v>
      </c>
      <c r="F32" s="2">
        <f t="shared" si="2"/>
        <v>0.23152544550431597</v>
      </c>
      <c r="G32" s="11">
        <f t="shared" si="3"/>
        <v>2.1092369826943361E-2</v>
      </c>
    </row>
    <row r="33" spans="2:7" x14ac:dyDescent="0.3">
      <c r="B33" s="2" t="s">
        <v>4</v>
      </c>
      <c r="C33" s="6">
        <v>0.22219061724984349</v>
      </c>
      <c r="D33" s="6">
        <v>0.2768906290883435</v>
      </c>
      <c r="E33" s="11">
        <v>0.26764718287997374</v>
      </c>
      <c r="F33" s="2">
        <f t="shared" si="2"/>
        <v>0.2555761430727202</v>
      </c>
      <c r="G33" s="11">
        <f t="shared" si="3"/>
        <v>2.3906837589613483E-2</v>
      </c>
    </row>
    <row r="34" spans="2:7" x14ac:dyDescent="0.3">
      <c r="B34" s="2" t="s">
        <v>5</v>
      </c>
      <c r="C34" s="6">
        <v>0.22598361964217717</v>
      </c>
      <c r="D34" s="6">
        <v>0.27596931886942033</v>
      </c>
      <c r="E34" s="11">
        <v>0.24946674055732676</v>
      </c>
      <c r="F34" s="2">
        <f t="shared" si="2"/>
        <v>0.25047322635630809</v>
      </c>
      <c r="G34" s="11">
        <f t="shared" si="3"/>
        <v>2.0418982868183676E-2</v>
      </c>
    </row>
    <row r="35" spans="2:7" x14ac:dyDescent="0.3">
      <c r="B35" s="2" t="s">
        <v>6</v>
      </c>
      <c r="C35" s="6">
        <v>0.42015870799060173</v>
      </c>
      <c r="D35" s="6">
        <v>0.59946778187849137</v>
      </c>
      <c r="E35" s="11">
        <v>0.39300389076193576</v>
      </c>
      <c r="F35" s="2">
        <f t="shared" si="2"/>
        <v>0.47087679354367623</v>
      </c>
      <c r="G35" s="11">
        <f t="shared" si="3"/>
        <v>9.1600865117363067E-2</v>
      </c>
    </row>
    <row r="36" spans="2:7" x14ac:dyDescent="0.3">
      <c r="B36" s="2" t="s">
        <v>7</v>
      </c>
      <c r="C36" s="6">
        <v>0.61839880993867924</v>
      </c>
      <c r="D36" s="6">
        <v>0.7770005581846684</v>
      </c>
      <c r="E36" s="11">
        <v>0.40263764435373628</v>
      </c>
      <c r="F36" s="2">
        <f t="shared" si="2"/>
        <v>0.59934567082569468</v>
      </c>
      <c r="G36" s="11">
        <f t="shared" si="3"/>
        <v>0.15342569188490016</v>
      </c>
    </row>
    <row r="37" spans="2:7" x14ac:dyDescent="0.3">
      <c r="B37" s="2" t="s">
        <v>8</v>
      </c>
      <c r="C37" s="6">
        <v>0.34193462656060591</v>
      </c>
      <c r="D37" s="6">
        <v>0.41508702193133462</v>
      </c>
      <c r="E37" s="11">
        <v>0.21398796739804327</v>
      </c>
      <c r="F37" s="2">
        <f t="shared" si="2"/>
        <v>0.32366987196332792</v>
      </c>
      <c r="G37" s="11">
        <f t="shared" si="3"/>
        <v>8.3107995519564909E-2</v>
      </c>
    </row>
    <row r="38" spans="2:7" x14ac:dyDescent="0.3">
      <c r="B38" s="2" t="s">
        <v>9</v>
      </c>
      <c r="C38" s="6">
        <v>6.528624413671151E-2</v>
      </c>
      <c r="D38" s="6">
        <v>6.8073239047935719E-2</v>
      </c>
      <c r="E38" s="11">
        <v>4.2670255191780665E-2</v>
      </c>
      <c r="F38" s="2">
        <f t="shared" si="2"/>
        <v>5.8676579458809303E-2</v>
      </c>
      <c r="G38" s="11">
        <f t="shared" si="3"/>
        <v>1.1375225933719571E-2</v>
      </c>
    </row>
    <row r="39" spans="2:7" x14ac:dyDescent="0.3">
      <c r="B39" s="2" t="s">
        <v>10</v>
      </c>
      <c r="C39" s="6">
        <v>1.8715769513355855E-2</v>
      </c>
      <c r="D39" s="6">
        <v>1.918531433546011E-2</v>
      </c>
      <c r="E39" s="11">
        <v>1.5242201795392006E-2</v>
      </c>
      <c r="F39" s="2">
        <f t="shared" si="2"/>
        <v>1.7714428548069323E-2</v>
      </c>
      <c r="G39" s="11">
        <f t="shared" si="3"/>
        <v>1.758606820275888E-3</v>
      </c>
    </row>
    <row r="40" spans="2:7" x14ac:dyDescent="0.3">
      <c r="B40" s="2" t="s">
        <v>11</v>
      </c>
      <c r="C40" s="6">
        <v>1.5365516059245357</v>
      </c>
      <c r="D40" s="6">
        <v>1.5668828504761398</v>
      </c>
      <c r="E40" s="11">
        <v>1.3476697114752034</v>
      </c>
      <c r="F40" s="2">
        <f t="shared" si="2"/>
        <v>1.4837013892919597</v>
      </c>
      <c r="G40" s="11">
        <f t="shared" si="3"/>
        <v>9.6982675862732071E-2</v>
      </c>
    </row>
    <row r="41" spans="2:7" x14ac:dyDescent="0.3">
      <c r="B41" s="2" t="s">
        <v>12</v>
      </c>
      <c r="C41" s="6">
        <v>0.67627640406278344</v>
      </c>
      <c r="D41" s="6">
        <v>0.38030805115114885</v>
      </c>
      <c r="E41" s="11">
        <v>0.529731696076579</v>
      </c>
      <c r="F41" s="2">
        <f t="shared" si="2"/>
        <v>0.52877205043017039</v>
      </c>
      <c r="G41" s="11">
        <f t="shared" si="3"/>
        <v>0.12083047951884608</v>
      </c>
    </row>
    <row r="42" spans="2:7" x14ac:dyDescent="0.3">
      <c r="B42" s="2" t="s">
        <v>13</v>
      </c>
      <c r="C42" s="6">
        <v>3.2305802714502843</v>
      </c>
      <c r="D42" s="6">
        <v>3.0850338361952123</v>
      </c>
      <c r="E42" s="11">
        <v>2.6815813676754234</v>
      </c>
      <c r="F42" s="2">
        <f t="shared" si="2"/>
        <v>2.9990651584403065</v>
      </c>
      <c r="G42" s="11">
        <f t="shared" si="3"/>
        <v>0.23222533489794611</v>
      </c>
    </row>
    <row r="43" spans="2:7" x14ac:dyDescent="0.3">
      <c r="B43" s="2"/>
      <c r="C43" s="6"/>
      <c r="D43" s="6"/>
      <c r="E43" s="11"/>
      <c r="F43" s="18"/>
      <c r="G43" s="19"/>
    </row>
    <row r="44" spans="2:7" ht="17.25" thickBot="1" x14ac:dyDescent="0.35">
      <c r="B44" s="4"/>
      <c r="C44" s="31"/>
      <c r="D44" s="32"/>
      <c r="E44" s="33"/>
      <c r="F44" s="4"/>
      <c r="G44" s="33"/>
    </row>
    <row r="45" spans="2:7" x14ac:dyDescent="0.3">
      <c r="B45" s="18" t="s">
        <v>14</v>
      </c>
      <c r="C45" s="27">
        <v>8.4610167123163489</v>
      </c>
      <c r="D45" s="28">
        <v>9.1151726744207924</v>
      </c>
      <c r="E45" s="29">
        <v>9.2149084254925118</v>
      </c>
      <c r="F45" s="30">
        <f>AVERAGE(C45:E45)</f>
        <v>8.9303659374098832</v>
      </c>
      <c r="G45" s="29">
        <f>_xlfn.STDEV.P(C45:E45)</f>
        <v>0.33436838599802526</v>
      </c>
    </row>
    <row r="46" spans="2:7" x14ac:dyDescent="0.3">
      <c r="B46" s="2" t="s">
        <v>15</v>
      </c>
      <c r="C46" s="7">
        <v>1.6904777777821314</v>
      </c>
      <c r="D46" s="25">
        <v>2.1547832342473106</v>
      </c>
      <c r="E46" s="12">
        <v>1.3170087000582145</v>
      </c>
      <c r="F46" s="20">
        <f>AVERAGE(C46:E46)</f>
        <v>1.7207565706958856</v>
      </c>
      <c r="G46" s="12">
        <f>_xlfn.STDEV.P(C46:E46)</f>
        <v>0.34268950621923411</v>
      </c>
    </row>
    <row r="47" spans="2:7" x14ac:dyDescent="0.3">
      <c r="B47" s="3" t="s">
        <v>16</v>
      </c>
      <c r="C47" s="8">
        <v>19.979605705321127</v>
      </c>
      <c r="D47" s="26">
        <v>23.639521830388503</v>
      </c>
      <c r="E47" s="13">
        <v>14.292151796265125</v>
      </c>
      <c r="F47" s="21">
        <f>AVERAGE(C47:E47)</f>
        <v>19.303759777324917</v>
      </c>
      <c r="G47" s="12">
        <f>_xlfn.STDEV.P(C47:E47)</f>
        <v>3.8458555552264055</v>
      </c>
    </row>
    <row r="48" spans="2:7" x14ac:dyDescent="0.3">
      <c r="B48" s="2" t="s">
        <v>17</v>
      </c>
      <c r="C48" s="7">
        <v>9.9975683182408837</v>
      </c>
      <c r="D48" s="25">
        <v>10.682055524896931</v>
      </c>
      <c r="E48" s="12">
        <v>10.562578136967716</v>
      </c>
      <c r="F48" s="20">
        <f>AVERAGE(C48:E48)</f>
        <v>10.414067326701844</v>
      </c>
      <c r="G48" s="12">
        <f>_xlfn.STDEV.P(C48:E48)</f>
        <v>0.29852110991052666</v>
      </c>
    </row>
    <row r="49" spans="2:7" x14ac:dyDescent="0.3">
      <c r="B49" s="2"/>
      <c r="C49" s="7"/>
      <c r="D49" s="25"/>
      <c r="E49" s="12"/>
      <c r="F49" s="20"/>
      <c r="G49" s="12"/>
    </row>
    <row r="50" spans="2:7" ht="17.25" thickBot="1" x14ac:dyDescent="0.35">
      <c r="B50" s="4" t="s">
        <v>18</v>
      </c>
      <c r="C50" s="9">
        <v>13.904424993753951</v>
      </c>
      <c r="D50" s="9">
        <v>14.147397412243292</v>
      </c>
      <c r="E50" s="14">
        <v>13.773891200719719</v>
      </c>
      <c r="F50" s="22">
        <f>AVERAGE(C50:E50)</f>
        <v>13.94190453557232</v>
      </c>
      <c r="G50" s="14">
        <f>_xlfn.STDEV.P(C50:E50)</f>
        <v>0.15476920355346141</v>
      </c>
    </row>
    <row r="51" spans="2:7" ht="17.25" thickBot="1" x14ac:dyDescent="0.35"/>
    <row r="52" spans="2:7" ht="17.25" thickBot="1" x14ac:dyDescent="0.35">
      <c r="B52" s="57"/>
      <c r="C52" s="58"/>
      <c r="D52" s="58"/>
      <c r="E52" s="58"/>
      <c r="F52" s="58"/>
      <c r="G52" s="59"/>
    </row>
    <row r="53" spans="2:7" x14ac:dyDescent="0.3">
      <c r="B53" s="60" t="s">
        <v>37</v>
      </c>
      <c r="C53" s="34">
        <v>46065</v>
      </c>
      <c r="D53" s="34">
        <v>46082</v>
      </c>
      <c r="E53" s="35">
        <v>46085</v>
      </c>
      <c r="F53" s="15" t="s">
        <v>20</v>
      </c>
      <c r="G53" s="16" t="s">
        <v>21</v>
      </c>
    </row>
    <row r="54" spans="2:7" x14ac:dyDescent="0.3">
      <c r="B54" s="61"/>
      <c r="C54" s="6" t="s">
        <v>19</v>
      </c>
      <c r="D54" s="6" t="s">
        <v>19</v>
      </c>
      <c r="E54" s="11" t="s">
        <v>19</v>
      </c>
      <c r="F54" s="17" t="s">
        <v>19</v>
      </c>
      <c r="G54" s="11"/>
    </row>
    <row r="55" spans="2:7" x14ac:dyDescent="0.3">
      <c r="B55" s="2" t="s">
        <v>1</v>
      </c>
      <c r="C55" s="6">
        <v>2.1460781871503509</v>
      </c>
      <c r="D55" s="6">
        <v>1.627816724796902</v>
      </c>
      <c r="E55" s="11">
        <v>1.6561672783737487</v>
      </c>
      <c r="F55" s="2">
        <f>AVERAGE(C55:E55)</f>
        <v>1.8100207301070006</v>
      </c>
      <c r="G55" s="11">
        <f>_xlfn.STDEV.P(C55:E55)</f>
        <v>0.23791020616731323</v>
      </c>
    </row>
    <row r="56" spans="2:7" x14ac:dyDescent="0.3">
      <c r="B56" s="2" t="s">
        <v>2</v>
      </c>
      <c r="C56" s="6">
        <v>4.7886015000931952</v>
      </c>
      <c r="D56" s="6">
        <v>4.9208643947347399</v>
      </c>
      <c r="E56" s="11">
        <v>4.9955607651969354</v>
      </c>
      <c r="F56" s="2">
        <f t="shared" ref="F56:F67" si="4">AVERAGE(C56:E56)</f>
        <v>4.9016755533416232</v>
      </c>
      <c r="G56" s="11">
        <f t="shared" ref="G56:G67" si="5">_xlfn.STDEV.P(C56:E56)</f>
        <v>8.5573333379730263E-2</v>
      </c>
    </row>
    <row r="57" spans="2:7" x14ac:dyDescent="0.3">
      <c r="B57" s="2" t="s">
        <v>3</v>
      </c>
      <c r="C57" s="6">
        <v>0.25581977019754637</v>
      </c>
      <c r="D57" s="6">
        <v>0.2092321811274101</v>
      </c>
      <c r="E57" s="11">
        <v>0.24452794520240745</v>
      </c>
      <c r="F57" s="2">
        <f t="shared" si="4"/>
        <v>0.23652663217578795</v>
      </c>
      <c r="G57" s="11">
        <f t="shared" si="5"/>
        <v>1.9842994086149281E-2</v>
      </c>
    </row>
    <row r="58" spans="2:7" x14ac:dyDescent="0.3">
      <c r="B58" s="2" t="s">
        <v>4</v>
      </c>
      <c r="C58" s="6">
        <v>0.30555431754319895</v>
      </c>
      <c r="D58" s="6">
        <v>0.23687033273243707</v>
      </c>
      <c r="E58" s="11">
        <v>0.26882786971462541</v>
      </c>
      <c r="F58" s="2">
        <f t="shared" si="4"/>
        <v>0.27041750666342046</v>
      </c>
      <c r="G58" s="11">
        <f t="shared" si="5"/>
        <v>2.8062640070539664E-2</v>
      </c>
    </row>
    <row r="59" spans="2:7" x14ac:dyDescent="0.3">
      <c r="B59" s="2" t="s">
        <v>5</v>
      </c>
      <c r="C59" s="6">
        <v>0.26874324245017639</v>
      </c>
      <c r="D59" s="6">
        <v>0.22284138621393165</v>
      </c>
      <c r="E59" s="11">
        <v>0.23995653297193864</v>
      </c>
      <c r="F59" s="2">
        <f t="shared" si="4"/>
        <v>0.24384705387868222</v>
      </c>
      <c r="G59" s="11">
        <f t="shared" si="5"/>
        <v>1.8940207956929033E-2</v>
      </c>
    </row>
    <row r="60" spans="2:7" x14ac:dyDescent="0.3">
      <c r="B60" s="2" t="s">
        <v>6</v>
      </c>
      <c r="C60" s="6">
        <v>0.39993534670469844</v>
      </c>
      <c r="D60" s="6">
        <v>0.42555042370500612</v>
      </c>
      <c r="E60" s="11">
        <v>0.40787298512291392</v>
      </c>
      <c r="F60" s="2">
        <f t="shared" si="4"/>
        <v>0.41111958517753949</v>
      </c>
      <c r="G60" s="11">
        <f t="shared" si="5"/>
        <v>1.07063330594231E-2</v>
      </c>
    </row>
    <row r="61" spans="2:7" x14ac:dyDescent="0.3">
      <c r="B61" s="2" t="s">
        <v>7</v>
      </c>
      <c r="C61" s="6">
        <v>0.4438402724911219</v>
      </c>
      <c r="D61" s="6">
        <v>0.56854554643049104</v>
      </c>
      <c r="E61" s="11">
        <v>0.54177057192352285</v>
      </c>
      <c r="F61" s="2">
        <f t="shared" si="4"/>
        <v>0.51805213028171193</v>
      </c>
      <c r="G61" s="11">
        <f t="shared" si="5"/>
        <v>5.3602081380672364E-2</v>
      </c>
    </row>
    <row r="62" spans="2:7" x14ac:dyDescent="0.3">
      <c r="B62" s="2" t="s">
        <v>8</v>
      </c>
      <c r="C62" s="6">
        <v>0.24417659155980873</v>
      </c>
      <c r="D62" s="6">
        <v>0.34356882873550998</v>
      </c>
      <c r="E62" s="11">
        <v>0.31563381672640667</v>
      </c>
      <c r="F62" s="2">
        <f t="shared" si="4"/>
        <v>0.30112641234057513</v>
      </c>
      <c r="G62" s="11">
        <f t="shared" si="5"/>
        <v>4.1853337495021431E-2</v>
      </c>
    </row>
    <row r="63" spans="2:7" x14ac:dyDescent="0.3">
      <c r="B63" s="2" t="s">
        <v>9</v>
      </c>
      <c r="C63" s="6">
        <v>5.3420682687431623E-2</v>
      </c>
      <c r="D63" s="6">
        <v>6.0704087253560399E-2</v>
      </c>
      <c r="E63" s="11">
        <v>5.8196418313207848E-2</v>
      </c>
      <c r="F63" s="2">
        <f t="shared" si="4"/>
        <v>5.7440396084733288E-2</v>
      </c>
      <c r="G63" s="11">
        <f t="shared" si="5"/>
        <v>3.0211115753352663E-3</v>
      </c>
    </row>
    <row r="64" spans="2:7" x14ac:dyDescent="0.3">
      <c r="B64" s="2" t="s">
        <v>10</v>
      </c>
      <c r="C64" s="6">
        <v>1.9527918260890828E-2</v>
      </c>
      <c r="D64" s="6">
        <v>1.8463147679280981E-2</v>
      </c>
      <c r="E64" s="11">
        <v>2.1365148872961544E-2</v>
      </c>
      <c r="F64" s="2">
        <f t="shared" si="4"/>
        <v>1.9785404937711117E-2</v>
      </c>
      <c r="G64" s="11">
        <f t="shared" si="5"/>
        <v>1.1986457006654967E-3</v>
      </c>
    </row>
    <row r="65" spans="2:7" x14ac:dyDescent="0.3">
      <c r="B65" s="2" t="s">
        <v>11</v>
      </c>
      <c r="C65" s="6">
        <v>1.2156262947391026</v>
      </c>
      <c r="D65" s="6">
        <v>1.4653409827866009</v>
      </c>
      <c r="E65" s="11">
        <v>1.3733774304808861</v>
      </c>
      <c r="F65" s="2">
        <f t="shared" si="4"/>
        <v>1.3514482360021967</v>
      </c>
      <c r="G65" s="11">
        <f t="shared" si="5"/>
        <v>0.10311813139801682</v>
      </c>
    </row>
    <row r="66" spans="2:7" x14ac:dyDescent="0.3">
      <c r="B66" s="2" t="s">
        <v>12</v>
      </c>
      <c r="C66" s="6">
        <v>0.87704275935047826</v>
      </c>
      <c r="D66" s="6">
        <v>0.65698698758739393</v>
      </c>
      <c r="E66" s="11">
        <v>0.63268275821432918</v>
      </c>
      <c r="F66" s="2">
        <f t="shared" si="4"/>
        <v>0.72223750171740042</v>
      </c>
      <c r="G66" s="11">
        <f t="shared" si="5"/>
        <v>0.10991261600164454</v>
      </c>
    </row>
    <row r="67" spans="2:7" x14ac:dyDescent="0.3">
      <c r="B67" s="2" t="s">
        <v>13</v>
      </c>
      <c r="C67" s="6">
        <v>2.3408428819449236</v>
      </c>
      <c r="D67" s="6">
        <v>3.1325307308723174</v>
      </c>
      <c r="E67" s="11">
        <v>2.9700769721414133</v>
      </c>
      <c r="F67" s="2">
        <f t="shared" si="4"/>
        <v>2.8144835283195513</v>
      </c>
      <c r="G67" s="11">
        <f t="shared" si="5"/>
        <v>0.34141802564703722</v>
      </c>
    </row>
    <row r="68" spans="2:7" x14ac:dyDescent="0.3">
      <c r="B68" s="2"/>
      <c r="C68" s="6"/>
      <c r="D68" s="6"/>
      <c r="E68" s="11"/>
      <c r="F68" s="18"/>
      <c r="G68" s="19"/>
    </row>
    <row r="69" spans="2:7" ht="17.25" thickBot="1" x14ac:dyDescent="0.35">
      <c r="B69" s="4"/>
      <c r="C69" s="31"/>
      <c r="D69" s="31"/>
      <c r="E69" s="33"/>
      <c r="F69" s="4"/>
      <c r="G69" s="33"/>
    </row>
    <row r="70" spans="2:7" x14ac:dyDescent="0.3">
      <c r="B70" s="18" t="s">
        <v>14</v>
      </c>
      <c r="C70" s="27">
        <v>8.9256978291384197</v>
      </c>
      <c r="D70" s="27">
        <v>8.6344570534092693</v>
      </c>
      <c r="E70" s="29">
        <v>8.7498793324186703</v>
      </c>
      <c r="F70" s="30">
        <f>AVERAGE(C70:E70)</f>
        <v>8.7700114049887858</v>
      </c>
      <c r="G70" s="29">
        <f>_xlfn.STDEV.P(C70:E70)</f>
        <v>0.11974771430332366</v>
      </c>
    </row>
    <row r="71" spans="2:7" x14ac:dyDescent="0.3">
      <c r="B71" s="2" t="s">
        <v>15</v>
      </c>
      <c r="C71" s="7">
        <v>1.4296440541541278</v>
      </c>
      <c r="D71" s="7">
        <v>1.63967342001778</v>
      </c>
      <c r="E71" s="12">
        <v>1.5847954739309513</v>
      </c>
      <c r="F71" s="20">
        <f>AVERAGE(C71:E71)</f>
        <v>1.551370982700953</v>
      </c>
      <c r="G71" s="12">
        <f>_xlfn.STDEV.P(C71:E71)</f>
        <v>8.8941857756477255E-2</v>
      </c>
    </row>
    <row r="72" spans="2:7" x14ac:dyDescent="0.3">
      <c r="B72" s="3" t="s">
        <v>16</v>
      </c>
      <c r="C72" s="8">
        <v>16.017168422249046</v>
      </c>
      <c r="D72" s="8">
        <v>18.989884481159862</v>
      </c>
      <c r="E72" s="13">
        <v>18.112198051225889</v>
      </c>
      <c r="F72" s="21">
        <f>AVERAGE(C72:E72)</f>
        <v>17.706416984878263</v>
      </c>
      <c r="G72" s="12">
        <f>_xlfn.STDEV.P(C72:E72)</f>
        <v>1.2470642584569633</v>
      </c>
    </row>
    <row r="73" spans="2:7" x14ac:dyDescent="0.3">
      <c r="B73" s="2" t="s">
        <v>17</v>
      </c>
      <c r="C73" s="7">
        <v>10.141324123877522</v>
      </c>
      <c r="D73" s="7">
        <v>10.099798036195871</v>
      </c>
      <c r="E73" s="12">
        <v>10.123256762899556</v>
      </c>
      <c r="F73" s="20">
        <f>AVERAGE(C73:E73)</f>
        <v>10.121459640990984</v>
      </c>
      <c r="G73" s="12">
        <f>_xlfn.STDEV.P(C73:E73)</f>
        <v>1.7000514205983225E-2</v>
      </c>
    </row>
    <row r="74" spans="2:7" x14ac:dyDescent="0.3">
      <c r="B74" s="2"/>
      <c r="C74" s="7"/>
      <c r="D74" s="7"/>
      <c r="E74" s="12"/>
      <c r="F74" s="20"/>
      <c r="G74" s="12"/>
    </row>
    <row r="75" spans="2:7" ht="17.25" thickBot="1" x14ac:dyDescent="0.35">
      <c r="B75" s="4" t="s">
        <v>18</v>
      </c>
      <c r="C75" s="9">
        <v>13.359209765172924</v>
      </c>
      <c r="D75" s="9">
        <v>13.889315754655584</v>
      </c>
      <c r="E75" s="14">
        <v>13.726016493255299</v>
      </c>
      <c r="F75" s="22">
        <f>AVERAGE(C75:E75)</f>
        <v>13.658180671027935</v>
      </c>
      <c r="G75" s="14">
        <f>_xlfn.STDEV.P(C75:E75)</f>
        <v>0.22166696356515614</v>
      </c>
    </row>
    <row r="77" spans="2:7" ht="17.25" thickBot="1" x14ac:dyDescent="0.35"/>
    <row r="78" spans="2:7" x14ac:dyDescent="0.3">
      <c r="B78" s="55" t="s">
        <v>33</v>
      </c>
      <c r="C78" s="34" t="s">
        <v>28</v>
      </c>
      <c r="D78" s="34" t="s">
        <v>30</v>
      </c>
      <c r="E78" s="34" t="s">
        <v>32</v>
      </c>
    </row>
    <row r="79" spans="2:7" ht="17.25" thickBot="1" x14ac:dyDescent="0.35">
      <c r="B79" s="56"/>
      <c r="C79" s="31" t="s">
        <v>19</v>
      </c>
      <c r="D79" s="31" t="s">
        <v>19</v>
      </c>
      <c r="E79" s="31" t="s">
        <v>19</v>
      </c>
    </row>
    <row r="80" spans="2:7" x14ac:dyDescent="0.3">
      <c r="B80" s="18" t="s">
        <v>1</v>
      </c>
      <c r="C80" s="46">
        <v>2.0091360137650915</v>
      </c>
      <c r="D80" s="46">
        <v>1.8227029201590055</v>
      </c>
      <c r="E80" s="46">
        <v>1.8100207301070006</v>
      </c>
    </row>
    <row r="81" spans="2:5" x14ac:dyDescent="0.3">
      <c r="B81" s="2" t="s">
        <v>2</v>
      </c>
      <c r="C81" s="6">
        <v>4.6858515706205592</v>
      </c>
      <c r="D81" s="6">
        <v>4.8998048579779576</v>
      </c>
      <c r="E81" s="6">
        <v>4.9016755533416232</v>
      </c>
    </row>
    <row r="82" spans="2:5" x14ac:dyDescent="0.3">
      <c r="B82" s="2" t="s">
        <v>3</v>
      </c>
      <c r="C82" s="6">
        <v>0.21695540480985101</v>
      </c>
      <c r="D82" s="6">
        <v>0.23152544550431597</v>
      </c>
      <c r="E82" s="6">
        <v>0.23652663217578795</v>
      </c>
    </row>
    <row r="83" spans="2:5" x14ac:dyDescent="0.3">
      <c r="B83" s="2" t="s">
        <v>4</v>
      </c>
      <c r="C83" s="6">
        <v>0.24191681960626032</v>
      </c>
      <c r="D83" s="6">
        <v>0.2555761430727202</v>
      </c>
      <c r="E83" s="6">
        <v>0.27041750666342046</v>
      </c>
    </row>
    <row r="84" spans="2:5" x14ac:dyDescent="0.3">
      <c r="B84" s="2" t="s">
        <v>5</v>
      </c>
      <c r="C84" s="6">
        <v>0.23860448000997905</v>
      </c>
      <c r="D84" s="6">
        <v>0.25047322635630809</v>
      </c>
      <c r="E84" s="6">
        <v>0.24384705387868222</v>
      </c>
    </row>
    <row r="85" spans="2:5" x14ac:dyDescent="0.3">
      <c r="B85" s="2" t="s">
        <v>6</v>
      </c>
      <c r="C85" s="6">
        <v>0.46495068010351837</v>
      </c>
      <c r="D85" s="6">
        <v>0.47087679354367623</v>
      </c>
      <c r="E85" s="6">
        <v>0.41111958517753949</v>
      </c>
    </row>
    <row r="86" spans="2:5" x14ac:dyDescent="0.3">
      <c r="B86" s="2" t="s">
        <v>7</v>
      </c>
      <c r="C86" s="6">
        <v>0.54487806314146658</v>
      </c>
      <c r="D86" s="6">
        <v>0.59934567082569468</v>
      </c>
      <c r="E86" s="6">
        <v>0.51805213028171193</v>
      </c>
    </row>
    <row r="87" spans="2:5" x14ac:dyDescent="0.3">
      <c r="B87" s="2" t="s">
        <v>8</v>
      </c>
      <c r="C87" s="6">
        <v>0.26350094857242262</v>
      </c>
      <c r="D87" s="6">
        <v>0.32366987196332792</v>
      </c>
      <c r="E87" s="6">
        <v>0.30112641234057513</v>
      </c>
    </row>
    <row r="88" spans="2:5" x14ac:dyDescent="0.3">
      <c r="B88" s="2" t="s">
        <v>9</v>
      </c>
      <c r="C88" s="6">
        <v>4.783780315234052E-2</v>
      </c>
      <c r="D88" s="6">
        <v>5.8676579458809303E-2</v>
      </c>
      <c r="E88" s="6">
        <v>5.7440396084733288E-2</v>
      </c>
    </row>
    <row r="89" spans="2:5" x14ac:dyDescent="0.3">
      <c r="B89" s="2" t="s">
        <v>10</v>
      </c>
      <c r="C89" s="6">
        <v>1.7247310314192996E-2</v>
      </c>
      <c r="D89" s="6">
        <v>1.7714428548069323E-2</v>
      </c>
      <c r="E89" s="6">
        <v>1.9785404937711117E-2</v>
      </c>
    </row>
    <row r="90" spans="2:5" x14ac:dyDescent="0.3">
      <c r="B90" s="2" t="s">
        <v>11</v>
      </c>
      <c r="C90" s="6">
        <v>1.0832128582971112</v>
      </c>
      <c r="D90" s="6">
        <v>1.4837013892919597</v>
      </c>
      <c r="E90" s="6">
        <v>1.3514482360021967</v>
      </c>
    </row>
    <row r="91" spans="2:5" x14ac:dyDescent="0.3">
      <c r="B91" s="2" t="s">
        <v>12</v>
      </c>
      <c r="C91" s="6">
        <v>1.101850969159093</v>
      </c>
      <c r="D91" s="6">
        <v>0.52877205043017039</v>
      </c>
      <c r="E91" s="6">
        <v>0.72223750171740042</v>
      </c>
    </row>
    <row r="92" spans="2:5" ht="17.25" thickBot="1" x14ac:dyDescent="0.35">
      <c r="B92" s="4" t="s">
        <v>13</v>
      </c>
      <c r="C92" s="31">
        <v>2.8494970265187085</v>
      </c>
      <c r="D92" s="31">
        <v>2.9990651584403065</v>
      </c>
      <c r="E92" s="31">
        <v>2.8144835283195513</v>
      </c>
    </row>
    <row r="93" spans="2:5" ht="17.25" thickBot="1" x14ac:dyDescent="0.35">
      <c r="B93" s="47"/>
      <c r="C93" s="48"/>
      <c r="D93" s="48"/>
      <c r="E93" s="48"/>
    </row>
    <row r="94" spans="2:5" ht="17.25" thickBot="1" x14ac:dyDescent="0.35">
      <c r="B94" s="50"/>
      <c r="C94" s="51" t="s">
        <v>27</v>
      </c>
      <c r="D94" s="51" t="s">
        <v>29</v>
      </c>
      <c r="E94" s="51" t="s">
        <v>31</v>
      </c>
    </row>
    <row r="95" spans="2:5" x14ac:dyDescent="0.3">
      <c r="B95" s="18" t="s">
        <v>14</v>
      </c>
      <c r="C95" s="27">
        <v>8.7308790940956822</v>
      </c>
      <c r="D95" s="27">
        <v>8.9303659374098832</v>
      </c>
      <c r="E95" s="27">
        <v>8.7700114049887858</v>
      </c>
    </row>
    <row r="96" spans="2:5" x14ac:dyDescent="0.3">
      <c r="B96" s="2" t="s">
        <v>15</v>
      </c>
      <c r="C96" s="7">
        <v>1.5770192852939202</v>
      </c>
      <c r="D96" s="7">
        <v>1.7207565706958856</v>
      </c>
      <c r="E96" s="7">
        <v>1.551370982700953</v>
      </c>
    </row>
    <row r="97" spans="2:5" x14ac:dyDescent="0.3">
      <c r="B97" s="3" t="s">
        <v>16</v>
      </c>
      <c r="C97" s="8">
        <v>18.047921433558074</v>
      </c>
      <c r="D97" s="8">
        <v>19.303759777324917</v>
      </c>
      <c r="E97" s="8">
        <v>17.706416984878263</v>
      </c>
    </row>
    <row r="98" spans="2:5" x14ac:dyDescent="0.3">
      <c r="B98" s="2" t="s">
        <v>17</v>
      </c>
      <c r="C98" s="7">
        <v>9.8140919523927934</v>
      </c>
      <c r="D98" s="7">
        <v>10.414067326701844</v>
      </c>
      <c r="E98" s="7">
        <v>10.121459640990984</v>
      </c>
    </row>
    <row r="99" spans="2:5" x14ac:dyDescent="0.3">
      <c r="B99" s="2"/>
      <c r="C99" s="7"/>
      <c r="D99" s="7"/>
      <c r="E99" s="7"/>
    </row>
    <row r="100" spans="2:5" ht="17.25" thickBot="1" x14ac:dyDescent="0.35">
      <c r="B100" s="4" t="s">
        <v>18</v>
      </c>
      <c r="C100" s="9">
        <v>13.765439948070593</v>
      </c>
      <c r="D100" s="9">
        <v>13.94190453557232</v>
      </c>
      <c r="E100" s="9">
        <v>13.658180671027935</v>
      </c>
    </row>
    <row r="102" spans="2:5" ht="17.25" thickBot="1" x14ac:dyDescent="0.35"/>
    <row r="103" spans="2:5" x14ac:dyDescent="0.3">
      <c r="B103" s="55" t="s">
        <v>34</v>
      </c>
      <c r="C103" s="34" t="s">
        <v>27</v>
      </c>
      <c r="D103" s="34" t="s">
        <v>29</v>
      </c>
      <c r="E103" s="34" t="s">
        <v>31</v>
      </c>
    </row>
    <row r="104" spans="2:5" ht="17.25" thickBot="1" x14ac:dyDescent="0.35">
      <c r="B104" s="56"/>
      <c r="C104" s="31"/>
      <c r="D104" s="31"/>
      <c r="E104" s="31"/>
    </row>
    <row r="105" spans="2:5" x14ac:dyDescent="0.3">
      <c r="B105" s="1" t="s">
        <v>1</v>
      </c>
      <c r="C105" s="5">
        <v>0.21818056259367416</v>
      </c>
      <c r="D105" s="5">
        <v>0.23362481499623183</v>
      </c>
      <c r="E105" s="5">
        <v>0.23791020616731323</v>
      </c>
    </row>
    <row r="106" spans="2:5" x14ac:dyDescent="0.3">
      <c r="B106" s="2" t="s">
        <v>2</v>
      </c>
      <c r="C106" s="6">
        <v>0.62397865671862907</v>
      </c>
      <c r="D106" s="6">
        <v>0.24019407819835262</v>
      </c>
      <c r="E106" s="6">
        <v>8.5573333379730263E-2</v>
      </c>
    </row>
    <row r="107" spans="2:5" x14ac:dyDescent="0.3">
      <c r="B107" s="2" t="s">
        <v>3</v>
      </c>
      <c r="C107" s="6">
        <v>1.4472987439157113E-2</v>
      </c>
      <c r="D107" s="6">
        <v>2.1092369826943361E-2</v>
      </c>
      <c r="E107" s="6">
        <v>1.9842994086149281E-2</v>
      </c>
    </row>
    <row r="108" spans="2:5" x14ac:dyDescent="0.3">
      <c r="B108" s="2" t="s">
        <v>4</v>
      </c>
      <c r="C108" s="6">
        <v>7.1669259391472116E-3</v>
      </c>
      <c r="D108" s="6">
        <v>2.3906837589613483E-2</v>
      </c>
      <c r="E108" s="6">
        <v>2.8062640070539664E-2</v>
      </c>
    </row>
    <row r="109" spans="2:5" x14ac:dyDescent="0.3">
      <c r="B109" s="2" t="s">
        <v>5</v>
      </c>
      <c r="C109" s="6">
        <v>2.8611624222892051E-2</v>
      </c>
      <c r="D109" s="6">
        <v>2.0418982868183676E-2</v>
      </c>
      <c r="E109" s="6">
        <v>1.8940207956929033E-2</v>
      </c>
    </row>
    <row r="110" spans="2:5" x14ac:dyDescent="0.3">
      <c r="B110" s="2" t="s">
        <v>6</v>
      </c>
      <c r="C110" s="6">
        <v>7.9642423068082363E-2</v>
      </c>
      <c r="D110" s="6">
        <v>9.1600865117363067E-2</v>
      </c>
      <c r="E110" s="6">
        <v>1.07063330594231E-2</v>
      </c>
    </row>
    <row r="111" spans="2:5" x14ac:dyDescent="0.3">
      <c r="B111" s="2" t="s">
        <v>7</v>
      </c>
      <c r="C111" s="6">
        <v>5.4206527796282648E-2</v>
      </c>
      <c r="D111" s="6">
        <v>0.15342569188490016</v>
      </c>
      <c r="E111" s="6">
        <v>5.3602081380672364E-2</v>
      </c>
    </row>
    <row r="112" spans="2:5" x14ac:dyDescent="0.3">
      <c r="B112" s="2" t="s">
        <v>8</v>
      </c>
      <c r="C112" s="6">
        <v>3.0514794618720871E-2</v>
      </c>
      <c r="D112" s="6">
        <v>8.3107995519564909E-2</v>
      </c>
      <c r="E112" s="6">
        <v>4.1853337495021431E-2</v>
      </c>
    </row>
    <row r="113" spans="2:5" x14ac:dyDescent="0.3">
      <c r="B113" s="2" t="s">
        <v>9</v>
      </c>
      <c r="C113" s="6">
        <v>9.6989393975845627E-3</v>
      </c>
      <c r="D113" s="6">
        <v>1.1375225933719571E-2</v>
      </c>
      <c r="E113" s="6">
        <v>3.0211115753352663E-3</v>
      </c>
    </row>
    <row r="114" spans="2:5" x14ac:dyDescent="0.3">
      <c r="B114" s="2" t="s">
        <v>10</v>
      </c>
      <c r="C114" s="6">
        <v>3.2731314343614061E-3</v>
      </c>
      <c r="D114" s="6">
        <v>1.758606820275888E-3</v>
      </c>
      <c r="E114" s="6">
        <v>1.1986457006654967E-3</v>
      </c>
    </row>
    <row r="115" spans="2:5" x14ac:dyDescent="0.3">
      <c r="B115" s="2" t="s">
        <v>11</v>
      </c>
      <c r="C115" s="6">
        <v>0.39021013331321908</v>
      </c>
      <c r="D115" s="6">
        <v>9.6982675862732071E-2</v>
      </c>
      <c r="E115" s="6">
        <v>0.10311813139801682</v>
      </c>
    </row>
    <row r="116" spans="2:5" x14ac:dyDescent="0.3">
      <c r="B116" s="2" t="s">
        <v>12</v>
      </c>
      <c r="C116" s="6">
        <v>0.37589229058355383</v>
      </c>
      <c r="D116" s="6">
        <v>0.12083047951884608</v>
      </c>
      <c r="E116" s="6">
        <v>0.10991261600164454</v>
      </c>
    </row>
    <row r="117" spans="2:5" ht="17.25" thickBot="1" x14ac:dyDescent="0.35">
      <c r="B117" s="4" t="s">
        <v>13</v>
      </c>
      <c r="C117" s="31">
        <v>0.16713899815219535</v>
      </c>
      <c r="D117" s="31">
        <v>0.23222533489794611</v>
      </c>
      <c r="E117" s="31">
        <v>0.34141802564703722</v>
      </c>
    </row>
    <row r="118" spans="2:5" ht="17.25" thickBot="1" x14ac:dyDescent="0.35">
      <c r="B118" s="47"/>
      <c r="C118" s="48"/>
      <c r="D118" s="48"/>
      <c r="E118" s="48"/>
    </row>
    <row r="119" spans="2:5" ht="17.25" thickBot="1" x14ac:dyDescent="0.35">
      <c r="B119" s="50"/>
      <c r="C119" s="51" t="s">
        <v>27</v>
      </c>
      <c r="D119" s="51" t="s">
        <v>29</v>
      </c>
      <c r="E119" s="51" t="s">
        <v>31</v>
      </c>
    </row>
    <row r="120" spans="2:5" x14ac:dyDescent="0.3">
      <c r="B120" s="18" t="s">
        <v>14</v>
      </c>
      <c r="C120" s="27">
        <v>0.54534254557310102</v>
      </c>
      <c r="D120" s="27">
        <v>0.33436838599802526</v>
      </c>
      <c r="E120" s="27">
        <v>0.11974771430332366</v>
      </c>
    </row>
    <row r="121" spans="2:5" x14ac:dyDescent="0.3">
      <c r="B121" s="2" t="s">
        <v>15</v>
      </c>
      <c r="C121" s="7">
        <v>0.12688354411434044</v>
      </c>
      <c r="D121" s="7">
        <v>0.34268950621923411</v>
      </c>
      <c r="E121" s="7">
        <v>8.8941857756477255E-2</v>
      </c>
    </row>
    <row r="122" spans="2:5" x14ac:dyDescent="0.3">
      <c r="B122" s="3" t="s">
        <v>16</v>
      </c>
      <c r="C122" s="7">
        <v>0.5029702082936145</v>
      </c>
      <c r="D122" s="7">
        <v>3.8458555552264055</v>
      </c>
      <c r="E122" s="7">
        <v>1.2470642584569633</v>
      </c>
    </row>
    <row r="123" spans="2:5" x14ac:dyDescent="0.3">
      <c r="B123" s="2" t="s">
        <v>17</v>
      </c>
      <c r="C123" s="7">
        <v>0.77808689908997075</v>
      </c>
      <c r="D123" s="7">
        <v>0.29852110991052666</v>
      </c>
      <c r="E123" s="7">
        <v>1.7000514205983225E-2</v>
      </c>
    </row>
    <row r="124" spans="2:5" x14ac:dyDescent="0.3">
      <c r="B124" s="2"/>
      <c r="C124" s="7"/>
      <c r="D124" s="7"/>
      <c r="E124" s="7"/>
    </row>
    <row r="125" spans="2:5" ht="17.25" thickBot="1" x14ac:dyDescent="0.35">
      <c r="B125" s="4" t="s">
        <v>18</v>
      </c>
      <c r="C125" s="9">
        <v>0.31011860377613287</v>
      </c>
      <c r="D125" s="9">
        <v>0.15476920355346141</v>
      </c>
      <c r="E125" s="9">
        <v>0.22166696356515614</v>
      </c>
    </row>
  </sheetData>
  <mergeCells count="8">
    <mergeCell ref="B78:B79"/>
    <mergeCell ref="B103:B104"/>
    <mergeCell ref="B2:G2"/>
    <mergeCell ref="B3:B4"/>
    <mergeCell ref="B27:G27"/>
    <mergeCell ref="B28:B29"/>
    <mergeCell ref="B52:G52"/>
    <mergeCell ref="B53:B54"/>
  </mergeCells>
  <phoneticPr fontId="1" type="noConversion"/>
  <conditionalFormatting sqref="C30:C31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{528CCC0D-0C1E-4B2A-8404-D76351471D6E}</x14:id>
        </ext>
      </extLst>
    </cfRule>
  </conditionalFormatting>
  <conditionalFormatting sqref="C32:C3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{D8A6FE4B-84C2-4DC0-8DB7-B510A78699D9}</x14:id>
        </ext>
      </extLst>
    </cfRule>
  </conditionalFormatting>
  <conditionalFormatting sqref="C80:C81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{334C1984-E47C-449B-8A6D-B23A1CE7DF54}</x14:id>
        </ext>
      </extLst>
    </cfRule>
  </conditionalFormatting>
  <conditionalFormatting sqref="C82:C8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{FA55AB07-B8FE-4A5B-97F5-2EA2F17B9E3E}</x14:id>
        </ext>
      </extLst>
    </cfRule>
  </conditionalFormatting>
  <conditionalFormatting sqref="C5:E6">
    <cfRule type="dataBar" priority="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{519F7BF3-A939-4501-9123-DE2FC43F8E9D}</x14:id>
        </ext>
      </extLst>
    </cfRule>
  </conditionalFormatting>
  <conditionalFormatting sqref="C7:E14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{F1541504-A549-4B0B-8B9F-2BA3587B063B}</x14:id>
        </ext>
      </extLst>
    </cfRule>
  </conditionalFormatting>
  <conditionalFormatting sqref="C55:E5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{E7252B4D-CD7D-4DE4-928A-ED8BB5E9FDE0}</x14:id>
        </ext>
      </extLst>
    </cfRule>
  </conditionalFormatting>
  <conditionalFormatting sqref="C57:E64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{9BC02E06-4C95-46C1-A363-47A35954FEC8}</x14:id>
        </ext>
      </extLst>
    </cfRule>
  </conditionalFormatting>
  <conditionalFormatting sqref="D30:D31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{5DBE2B27-3BD4-40F0-8E22-0F67962AE8E8}</x14:id>
        </ext>
      </extLst>
    </cfRule>
  </conditionalFormatting>
  <conditionalFormatting sqref="D32:D3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{1D7CA464-0348-4C5C-9B07-689EED9445C6}</x14:id>
        </ext>
      </extLst>
    </cfRule>
  </conditionalFormatting>
  <conditionalFormatting sqref="D80:D81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{D968F858-4ECE-4186-B41F-C846916DBA8B}</x14:id>
        </ext>
      </extLst>
    </cfRule>
  </conditionalFormatting>
  <conditionalFormatting sqref="D82:D8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{72E7FE87-9787-45F2-AF1A-97FC8016616E}</x14:id>
        </ext>
      </extLst>
    </cfRule>
  </conditionalFormatting>
  <conditionalFormatting sqref="E30:E31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{05581CA1-90A7-4292-9F8C-01831EDF3832}</x14:id>
        </ext>
      </extLst>
    </cfRule>
  </conditionalFormatting>
  <conditionalFormatting sqref="E32:E3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{8190106F-9ED9-41AA-AFBF-B6C479A323D9}</x14:id>
        </ext>
      </extLst>
    </cfRule>
  </conditionalFormatting>
  <conditionalFormatting sqref="E80:E8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{82EBD257-908F-402C-B519-8D51744B7BB7}</x14:id>
        </ext>
      </extLst>
    </cfRule>
  </conditionalFormatting>
  <conditionalFormatting sqref="E82:E8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{175B8E24-615E-4D45-AAF0-A3E7E9A04BCD}</x14:id>
        </ext>
      </extLst>
    </cfRule>
  </conditionalFormatting>
  <conditionalFormatting sqref="F5:F14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{B2679952-75E7-4200-8C3B-07A0856CFEB5}</x14:id>
        </ext>
      </extLst>
    </cfRule>
  </conditionalFormatting>
  <conditionalFormatting sqref="F7:F14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{7FAF2852-1541-4A69-B366-936156114B78}</x14:id>
        </ext>
      </extLst>
    </cfRule>
  </conditionalFormatting>
  <conditionalFormatting sqref="F30:F39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{77D21837-CF5C-4C16-A284-5231E7ACC345}</x14:id>
        </ext>
      </extLst>
    </cfRule>
  </conditionalFormatting>
  <conditionalFormatting sqref="F32:F3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{CF8A18E3-0716-446A-8A07-ED95E929D2B2}</x14:id>
        </ext>
      </extLst>
    </cfRule>
  </conditionalFormatting>
  <conditionalFormatting sqref="F55:F64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{428AB695-453B-46A1-9886-E5BB9FAA8EC6}</x14:id>
        </ext>
      </extLst>
    </cfRule>
  </conditionalFormatting>
  <conditionalFormatting sqref="F57:F64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{D1FB4FA6-E7B8-4260-BAB0-03842D15D54C}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8CCC0D-0C1E-4B2A-8404-D76351471D6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C30:C31</xm:sqref>
        </x14:conditionalFormatting>
        <x14:conditionalFormatting xmlns:xm="http://schemas.microsoft.com/office/excel/2006/main">
          <x14:cfRule type="dataBar" id="{D8A6FE4B-84C2-4DC0-8DB7-B510A78699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C32:C39</xm:sqref>
        </x14:conditionalFormatting>
        <x14:conditionalFormatting xmlns:xm="http://schemas.microsoft.com/office/excel/2006/main">
          <x14:cfRule type="dataBar" id="{334C1984-E47C-449B-8A6D-B23A1CE7DF5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C80:C81</xm:sqref>
        </x14:conditionalFormatting>
        <x14:conditionalFormatting xmlns:xm="http://schemas.microsoft.com/office/excel/2006/main">
          <x14:cfRule type="dataBar" id="{FA55AB07-B8FE-4A5B-97F5-2EA2F17B9E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C82:C89</xm:sqref>
        </x14:conditionalFormatting>
        <x14:conditionalFormatting xmlns:xm="http://schemas.microsoft.com/office/excel/2006/main">
          <x14:cfRule type="dataBar" id="{519F7BF3-A939-4501-9123-DE2FC43F8E9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C5:E6</xm:sqref>
        </x14:conditionalFormatting>
        <x14:conditionalFormatting xmlns:xm="http://schemas.microsoft.com/office/excel/2006/main">
          <x14:cfRule type="dataBar" id="{F1541504-A549-4B0B-8B9F-2BA3587B0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C7:E14</xm:sqref>
        </x14:conditionalFormatting>
        <x14:conditionalFormatting xmlns:xm="http://schemas.microsoft.com/office/excel/2006/main">
          <x14:cfRule type="dataBar" id="{E7252B4D-CD7D-4DE4-928A-ED8BB5E9FDE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C55:E56</xm:sqref>
        </x14:conditionalFormatting>
        <x14:conditionalFormatting xmlns:xm="http://schemas.microsoft.com/office/excel/2006/main">
          <x14:cfRule type="dataBar" id="{9BC02E06-4C95-46C1-A363-47A35954FE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C57:E64</xm:sqref>
        </x14:conditionalFormatting>
        <x14:conditionalFormatting xmlns:xm="http://schemas.microsoft.com/office/excel/2006/main">
          <x14:cfRule type="dataBar" id="{5DBE2B27-3BD4-40F0-8E22-0F67962AE8E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D30:D31</xm:sqref>
        </x14:conditionalFormatting>
        <x14:conditionalFormatting xmlns:xm="http://schemas.microsoft.com/office/excel/2006/main">
          <x14:cfRule type="dataBar" id="{1D7CA464-0348-4C5C-9B07-689EED9445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D32:D39</xm:sqref>
        </x14:conditionalFormatting>
        <x14:conditionalFormatting xmlns:xm="http://schemas.microsoft.com/office/excel/2006/main">
          <x14:cfRule type="dataBar" id="{D968F858-4ECE-4186-B41F-C846916DBA8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D80:D81</xm:sqref>
        </x14:conditionalFormatting>
        <x14:conditionalFormatting xmlns:xm="http://schemas.microsoft.com/office/excel/2006/main">
          <x14:cfRule type="dataBar" id="{72E7FE87-9787-45F2-AF1A-97FC801661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D82:D89</xm:sqref>
        </x14:conditionalFormatting>
        <x14:conditionalFormatting xmlns:xm="http://schemas.microsoft.com/office/excel/2006/main">
          <x14:cfRule type="dataBar" id="{05581CA1-90A7-4292-9F8C-01831EDF383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E30:E31</xm:sqref>
        </x14:conditionalFormatting>
        <x14:conditionalFormatting xmlns:xm="http://schemas.microsoft.com/office/excel/2006/main">
          <x14:cfRule type="dataBar" id="{8190106F-9ED9-41AA-AFBF-B6C479A32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E32:E39</xm:sqref>
        </x14:conditionalFormatting>
        <x14:conditionalFormatting xmlns:xm="http://schemas.microsoft.com/office/excel/2006/main">
          <x14:cfRule type="dataBar" id="{82EBD257-908F-402C-B519-8D51744B7BB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E80:E81</xm:sqref>
        </x14:conditionalFormatting>
        <x14:conditionalFormatting xmlns:xm="http://schemas.microsoft.com/office/excel/2006/main">
          <x14:cfRule type="dataBar" id="{175B8E24-615E-4D45-AAF0-A3E7E9A04B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E82:E89</xm:sqref>
        </x14:conditionalFormatting>
        <x14:conditionalFormatting xmlns:xm="http://schemas.microsoft.com/office/excel/2006/main">
          <x14:cfRule type="dataBar" id="{B2679952-75E7-4200-8C3B-07A0856CFEB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F5:F14</xm:sqref>
        </x14:conditionalFormatting>
        <x14:conditionalFormatting xmlns:xm="http://schemas.microsoft.com/office/excel/2006/main">
          <x14:cfRule type="dataBar" id="{7FAF2852-1541-4A69-B366-936156114B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F7:F14</xm:sqref>
        </x14:conditionalFormatting>
        <x14:conditionalFormatting xmlns:xm="http://schemas.microsoft.com/office/excel/2006/main">
          <x14:cfRule type="dataBar" id="{77D21837-CF5C-4C16-A284-5231E7ACC34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F30:F39</xm:sqref>
        </x14:conditionalFormatting>
        <x14:conditionalFormatting xmlns:xm="http://schemas.microsoft.com/office/excel/2006/main">
          <x14:cfRule type="dataBar" id="{CF8A18E3-0716-446A-8A07-ED95E929D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F32:F39</xm:sqref>
        </x14:conditionalFormatting>
        <x14:conditionalFormatting xmlns:xm="http://schemas.microsoft.com/office/excel/2006/main">
          <x14:cfRule type="dataBar" id="{428AB695-453B-46A1-9886-E5BB9FAA8EC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F55:F64</xm:sqref>
        </x14:conditionalFormatting>
        <x14:conditionalFormatting xmlns:xm="http://schemas.microsoft.com/office/excel/2006/main">
          <x14:cfRule type="dataBar" id="{D1FB4FA6-E7B8-4260-BAB0-03842D15D5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F57:F64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DA796-680F-4AC5-B79E-FC6DDE9F7CF5}">
  <dimension ref="B1:G125"/>
  <sheetViews>
    <sheetView topLeftCell="A81" workbookViewId="0">
      <selection activeCell="B98" sqref="B98"/>
    </sheetView>
  </sheetViews>
  <sheetFormatPr defaultRowHeight="16.5" x14ac:dyDescent="0.3"/>
  <cols>
    <col min="2" max="7" width="15.625" customWidth="1"/>
  </cols>
  <sheetData>
    <row r="1" spans="2:7" ht="17.25" thickBot="1" x14ac:dyDescent="0.35"/>
    <row r="2" spans="2:7" ht="17.25" thickBot="1" x14ac:dyDescent="0.35">
      <c r="B2" s="57"/>
      <c r="C2" s="58"/>
      <c r="D2" s="58"/>
      <c r="E2" s="58"/>
      <c r="F2" s="58"/>
      <c r="G2" s="59"/>
    </row>
    <row r="3" spans="2:7" x14ac:dyDescent="0.3">
      <c r="B3" s="55" t="s">
        <v>22</v>
      </c>
      <c r="C3" s="34">
        <v>46065</v>
      </c>
      <c r="D3" s="34">
        <v>46066</v>
      </c>
      <c r="E3" s="35">
        <v>46073</v>
      </c>
      <c r="F3" s="15" t="s">
        <v>20</v>
      </c>
      <c r="G3" s="16" t="s">
        <v>21</v>
      </c>
    </row>
    <row r="4" spans="2:7" x14ac:dyDescent="0.3">
      <c r="B4" s="61"/>
      <c r="C4" s="6" t="s">
        <v>19</v>
      </c>
      <c r="D4" s="6" t="s">
        <v>19</v>
      </c>
      <c r="E4" s="11" t="s">
        <v>19</v>
      </c>
      <c r="F4" s="17" t="s">
        <v>19</v>
      </c>
      <c r="G4" s="11"/>
    </row>
    <row r="5" spans="2:7" x14ac:dyDescent="0.3">
      <c r="B5" s="2" t="s">
        <v>1</v>
      </c>
      <c r="C5" s="6">
        <v>1.5289505556162104</v>
      </c>
      <c r="D5" s="6">
        <v>1.7087070550412036</v>
      </c>
      <c r="E5" s="11">
        <v>1.1890019943516386</v>
      </c>
      <c r="F5" s="2">
        <f>AVERAGE(C5:E5)</f>
        <v>1.4755532016696842</v>
      </c>
      <c r="G5" s="11">
        <f>_xlfn.STDEV.P(C5:E5)</f>
        <v>0.21550219733288747</v>
      </c>
    </row>
    <row r="6" spans="2:7" x14ac:dyDescent="0.3">
      <c r="B6" s="2" t="s">
        <v>2</v>
      </c>
      <c r="C6" s="6">
        <v>3.734004774616495</v>
      </c>
      <c r="D6" s="6">
        <v>3.9110636137425496</v>
      </c>
      <c r="E6" s="11">
        <v>3.872121142546268</v>
      </c>
      <c r="F6" s="2">
        <f t="shared" ref="F6:F17" si="0">AVERAGE(C6:E6)</f>
        <v>3.8390631769684376</v>
      </c>
      <c r="G6" s="11">
        <f t="shared" ref="G6:G17" si="1">_xlfn.STDEV.P(C6:E6)</f>
        <v>7.5969642815514535E-2</v>
      </c>
    </row>
    <row r="7" spans="2:7" x14ac:dyDescent="0.3">
      <c r="B7" s="2" t="s">
        <v>3</v>
      </c>
      <c r="C7" s="6">
        <v>0.34488993103127397</v>
      </c>
      <c r="D7" s="6">
        <v>0.33601603787721246</v>
      </c>
      <c r="E7" s="11">
        <v>0.36255480501951293</v>
      </c>
      <c r="F7" s="2">
        <f t="shared" si="0"/>
        <v>0.34782025797599975</v>
      </c>
      <c r="G7" s="11">
        <f t="shared" si="1"/>
        <v>1.1030764626278977E-2</v>
      </c>
    </row>
    <row r="8" spans="2:7" x14ac:dyDescent="0.3">
      <c r="B8" s="2" t="s">
        <v>4</v>
      </c>
      <c r="C8" s="6">
        <v>0.44005972969603546</v>
      </c>
      <c r="D8" s="6">
        <v>0.43483978842907356</v>
      </c>
      <c r="E8" s="11">
        <v>0.36941199336295349</v>
      </c>
      <c r="F8" s="2">
        <f t="shared" si="0"/>
        <v>0.41477050382935415</v>
      </c>
      <c r="G8" s="11">
        <f t="shared" si="1"/>
        <v>3.2144027962755048E-2</v>
      </c>
    </row>
    <row r="9" spans="2:7" x14ac:dyDescent="0.3">
      <c r="B9" s="2" t="s">
        <v>5</v>
      </c>
      <c r="C9" s="6">
        <v>0.45798090039955991</v>
      </c>
      <c r="D9" s="6">
        <v>0.44782510368264705</v>
      </c>
      <c r="E9" s="11">
        <v>0.41612578835352121</v>
      </c>
      <c r="F9" s="2">
        <f t="shared" si="0"/>
        <v>0.44064393081190939</v>
      </c>
      <c r="G9" s="11">
        <f t="shared" si="1"/>
        <v>1.7825815249167473E-2</v>
      </c>
    </row>
    <row r="10" spans="2:7" x14ac:dyDescent="0.3">
      <c r="B10" s="2" t="s">
        <v>6</v>
      </c>
      <c r="C10" s="6">
        <v>1.0395210172894527</v>
      </c>
      <c r="D10" s="6">
        <v>0.97205422313336742</v>
      </c>
      <c r="E10" s="11">
        <v>1.2411344851944859</v>
      </c>
      <c r="F10" s="2">
        <f t="shared" si="0"/>
        <v>1.0842365752057688</v>
      </c>
      <c r="G10" s="11">
        <f t="shared" si="1"/>
        <v>0.1143114391987828</v>
      </c>
    </row>
    <row r="11" spans="2:7" x14ac:dyDescent="0.3">
      <c r="B11" s="2" t="s">
        <v>7</v>
      </c>
      <c r="C11" s="6">
        <v>1.1476966755436981</v>
      </c>
      <c r="D11" s="6">
        <v>1.0716374841342808</v>
      </c>
      <c r="E11" s="11">
        <v>1.3983350187343206</v>
      </c>
      <c r="F11" s="2">
        <f t="shared" si="0"/>
        <v>1.2058897261374333</v>
      </c>
      <c r="G11" s="11">
        <f t="shared" si="1"/>
        <v>0.13957708296013319</v>
      </c>
    </row>
    <row r="12" spans="2:7" x14ac:dyDescent="0.3">
      <c r="B12" s="2" t="s">
        <v>8</v>
      </c>
      <c r="C12" s="6">
        <v>0.41650409112499737</v>
      </c>
      <c r="D12" s="6">
        <v>0.39797530506245743</v>
      </c>
      <c r="E12" s="11">
        <v>0.51784944016694245</v>
      </c>
      <c r="F12" s="2">
        <f t="shared" si="0"/>
        <v>0.44410961211813244</v>
      </c>
      <c r="G12" s="11">
        <f t="shared" si="1"/>
        <v>5.2687763656841996E-2</v>
      </c>
    </row>
    <row r="13" spans="2:7" x14ac:dyDescent="0.3">
      <c r="B13" s="2" t="s">
        <v>9</v>
      </c>
      <c r="C13" s="6">
        <v>5.5519284850745226E-2</v>
      </c>
      <c r="D13" s="6">
        <v>5.6002654225974946E-2</v>
      </c>
      <c r="E13" s="11">
        <v>6.4579896969172157E-2</v>
      </c>
      <c r="F13" s="2">
        <f t="shared" si="0"/>
        <v>5.8700612015297443E-2</v>
      </c>
      <c r="G13" s="11">
        <f t="shared" si="1"/>
        <v>4.1619630916888799E-3</v>
      </c>
    </row>
    <row r="14" spans="2:7" x14ac:dyDescent="0.3">
      <c r="B14" s="2" t="s">
        <v>10</v>
      </c>
      <c r="C14" s="6">
        <v>2.3793335382559865E-2</v>
      </c>
      <c r="D14" s="6">
        <v>2.0445553598603367E-2</v>
      </c>
      <c r="E14" s="11">
        <v>2.8454799702121843E-2</v>
      </c>
      <c r="F14" s="2">
        <f t="shared" si="0"/>
        <v>2.4231229561095025E-2</v>
      </c>
      <c r="G14" s="11">
        <f t="shared" si="1"/>
        <v>3.2843892654371028E-3</v>
      </c>
    </row>
    <row r="15" spans="2:7" x14ac:dyDescent="0.3">
      <c r="B15" s="2" t="s">
        <v>11</v>
      </c>
      <c r="C15" s="6">
        <v>1.672608412928998</v>
      </c>
      <c r="D15" s="6">
        <v>1.5231830180601345</v>
      </c>
      <c r="E15" s="11">
        <v>1.6523134089589231</v>
      </c>
      <c r="F15" s="2">
        <f t="shared" si="0"/>
        <v>1.6160349466493518</v>
      </c>
      <c r="G15" s="11">
        <f t="shared" si="1"/>
        <v>6.6176946029007117E-2</v>
      </c>
    </row>
    <row r="16" spans="2:7" x14ac:dyDescent="0.3">
      <c r="B16" s="2" t="s">
        <v>12</v>
      </c>
      <c r="C16" s="6">
        <v>0.55291169179015998</v>
      </c>
      <c r="D16" s="6">
        <v>0.55496150553054469</v>
      </c>
      <c r="E16" s="11">
        <v>0.44501987436084472</v>
      </c>
      <c r="F16" s="2">
        <f t="shared" si="0"/>
        <v>0.51763102389384985</v>
      </c>
      <c r="G16" s="11">
        <f t="shared" si="1"/>
        <v>5.1350655376998414E-2</v>
      </c>
    </row>
    <row r="17" spans="2:7" x14ac:dyDescent="0.3">
      <c r="B17" s="2" t="s">
        <v>13</v>
      </c>
      <c r="C17" s="6">
        <v>2.7546499757545511</v>
      </c>
      <c r="D17" s="6">
        <v>2.5705114779763423</v>
      </c>
      <c r="E17" s="11">
        <v>2.8625312585243963</v>
      </c>
      <c r="F17" s="2">
        <f t="shared" si="0"/>
        <v>2.7292309040850964</v>
      </c>
      <c r="G17" s="11">
        <f t="shared" si="1"/>
        <v>0.12056391102159898</v>
      </c>
    </row>
    <row r="18" spans="2:7" x14ac:dyDescent="0.3">
      <c r="B18" s="2"/>
      <c r="C18" s="6"/>
      <c r="D18" s="6"/>
      <c r="E18" s="11"/>
      <c r="F18" s="18"/>
      <c r="G18" s="19"/>
    </row>
    <row r="19" spans="2:7" ht="17.25" thickBot="1" x14ac:dyDescent="0.35">
      <c r="B19" s="4"/>
      <c r="C19" s="31"/>
      <c r="D19" s="31"/>
      <c r="E19" s="33"/>
      <c r="F19" s="4"/>
      <c r="G19" s="33"/>
    </row>
    <row r="20" spans="2:7" x14ac:dyDescent="0.3">
      <c r="B20" s="18" t="s">
        <v>14</v>
      </c>
      <c r="C20" s="27">
        <v>9.1889202955510303</v>
      </c>
      <c r="D20" s="27">
        <v>9.3565668189273694</v>
      </c>
      <c r="E20" s="29">
        <v>9.459569364400938</v>
      </c>
      <c r="F20" s="30">
        <f>AVERAGE(C20:E20)</f>
        <v>9.335018826293112</v>
      </c>
      <c r="G20" s="29">
        <f>_xlfn.STDEV.P(C20:E20)</f>
        <v>0.11153763671889715</v>
      </c>
    </row>
    <row r="21" spans="2:7" x14ac:dyDescent="0.3">
      <c r="B21" s="2" t="s">
        <v>15</v>
      </c>
      <c r="C21" s="7">
        <v>3.1410153045910132</v>
      </c>
      <c r="D21" s="7">
        <v>2.965940323837331</v>
      </c>
      <c r="E21" s="12">
        <v>3.6664794291205638</v>
      </c>
      <c r="F21" s="20">
        <f>AVERAGE(C21:E21)</f>
        <v>3.2578116858496364</v>
      </c>
      <c r="G21" s="12">
        <f>_xlfn.STDEV.P(C21:E21)</f>
        <v>0.29767969980510961</v>
      </c>
    </row>
    <row r="22" spans="2:7" x14ac:dyDescent="0.3">
      <c r="B22" s="3" t="s">
        <v>16</v>
      </c>
      <c r="C22" s="8">
        <v>34.182637388984517</v>
      </c>
      <c r="D22" s="8">
        <v>31.699023597389797</v>
      </c>
      <c r="E22" s="13">
        <v>38.759475065731571</v>
      </c>
      <c r="F22" s="21">
        <f>AVERAGE(C22:E22)</f>
        <v>34.880378684035293</v>
      </c>
      <c r="G22" s="12">
        <f>_xlfn.STDEV.P(C22:E22)</f>
        <v>2.924337636721261</v>
      </c>
    </row>
    <row r="23" spans="2:7" x14ac:dyDescent="0.3">
      <c r="B23" s="2" t="s">
        <v>17</v>
      </c>
      <c r="C23" s="7">
        <v>10.861528708480028</v>
      </c>
      <c r="D23" s="7">
        <v>10.879749836987504</v>
      </c>
      <c r="E23" s="12">
        <v>11.111882773359861</v>
      </c>
      <c r="F23" s="20">
        <f>AVERAGE(C23:E23)</f>
        <v>10.951053772942464</v>
      </c>
      <c r="G23" s="12">
        <f>_xlfn.STDEV.P(C23:E23)</f>
        <v>0.11396630470586686</v>
      </c>
    </row>
    <row r="24" spans="2:7" x14ac:dyDescent="0.3">
      <c r="B24" s="2"/>
      <c r="C24" s="7"/>
      <c r="D24" s="7"/>
      <c r="E24" s="12"/>
      <c r="F24" s="20"/>
      <c r="G24" s="12"/>
    </row>
    <row r="25" spans="2:7" ht="17.25" thickBot="1" x14ac:dyDescent="0.35">
      <c r="B25" s="4" t="s">
        <v>18</v>
      </c>
      <c r="C25" s="9">
        <v>14.169090376024739</v>
      </c>
      <c r="D25" s="9">
        <v>14.00522282049439</v>
      </c>
      <c r="E25" s="14">
        <v>14.419433906245104</v>
      </c>
      <c r="F25" s="22">
        <f>AVERAGE(C25:E25)</f>
        <v>14.197915700921412</v>
      </c>
      <c r="G25" s="14">
        <f>_xlfn.STDEV.P(C25:E25)</f>
        <v>0.17032494514162269</v>
      </c>
    </row>
    <row r="26" spans="2:7" ht="17.25" thickBot="1" x14ac:dyDescent="0.35"/>
    <row r="27" spans="2:7" ht="17.25" thickBot="1" x14ac:dyDescent="0.35">
      <c r="B27" s="57"/>
      <c r="C27" s="58"/>
      <c r="D27" s="58"/>
      <c r="E27" s="58"/>
      <c r="F27" s="58"/>
      <c r="G27" s="59"/>
    </row>
    <row r="28" spans="2:7" x14ac:dyDescent="0.3">
      <c r="B28" s="60" t="s">
        <v>24</v>
      </c>
      <c r="C28" s="34">
        <v>46094</v>
      </c>
      <c r="D28" s="34">
        <v>46098</v>
      </c>
      <c r="E28" s="35">
        <v>46102</v>
      </c>
      <c r="F28" s="15" t="s">
        <v>20</v>
      </c>
      <c r="G28" s="16" t="s">
        <v>21</v>
      </c>
    </row>
    <row r="29" spans="2:7" x14ac:dyDescent="0.3">
      <c r="B29" s="61"/>
      <c r="C29" s="6" t="s">
        <v>19</v>
      </c>
      <c r="D29" s="6" t="s">
        <v>19</v>
      </c>
      <c r="E29" s="11" t="s">
        <v>19</v>
      </c>
      <c r="F29" s="17" t="s">
        <v>19</v>
      </c>
      <c r="G29" s="11"/>
    </row>
    <row r="30" spans="2:7" x14ac:dyDescent="0.3">
      <c r="B30" s="2" t="s">
        <v>1</v>
      </c>
      <c r="C30" s="6">
        <v>1.0173860917842901</v>
      </c>
      <c r="D30" s="6">
        <v>1.3749251544411729</v>
      </c>
      <c r="E30" s="11">
        <v>1.1883562652246393</v>
      </c>
      <c r="F30" s="2">
        <f>AVERAGE(C30:E30)</f>
        <v>1.1935558371500341</v>
      </c>
      <c r="G30" s="11">
        <f>_xlfn.STDEV.P(C30:E30)</f>
        <v>0.14601100870036238</v>
      </c>
    </row>
    <row r="31" spans="2:7" x14ac:dyDescent="0.3">
      <c r="B31" s="2" t="s">
        <v>2</v>
      </c>
      <c r="C31" s="6">
        <v>3.3585200070491488</v>
      </c>
      <c r="D31" s="6">
        <v>3.5453044892967025</v>
      </c>
      <c r="E31" s="11">
        <v>3.5273051836188674</v>
      </c>
      <c r="F31" s="2">
        <f t="shared" ref="F31:F42" si="2">AVERAGE(C31:E31)</f>
        <v>3.4770432266549065</v>
      </c>
      <c r="G31" s="11">
        <f t="shared" ref="G31:G42" si="3">_xlfn.STDEV.P(C31:E31)</f>
        <v>8.4130093468417474E-2</v>
      </c>
    </row>
    <row r="32" spans="2:7" x14ac:dyDescent="0.3">
      <c r="B32" s="2" t="s">
        <v>3</v>
      </c>
      <c r="C32" s="6">
        <v>0.31291093974258966</v>
      </c>
      <c r="D32" s="6">
        <v>0.33892965869529212</v>
      </c>
      <c r="E32" s="11">
        <v>0.30674396408823068</v>
      </c>
      <c r="F32" s="2">
        <f t="shared" si="2"/>
        <v>0.31952818750870415</v>
      </c>
      <c r="G32" s="11">
        <f t="shared" si="3"/>
        <v>1.3948015637439052E-2</v>
      </c>
    </row>
    <row r="33" spans="2:7" x14ac:dyDescent="0.3">
      <c r="B33" s="2" t="s">
        <v>4</v>
      </c>
      <c r="C33" s="6">
        <v>0.39720816486003474</v>
      </c>
      <c r="D33" s="6">
        <v>0.45441843555516898</v>
      </c>
      <c r="E33" s="11">
        <v>0.38981692877952734</v>
      </c>
      <c r="F33" s="2">
        <f t="shared" si="2"/>
        <v>0.41381450973157702</v>
      </c>
      <c r="G33" s="11">
        <f t="shared" si="3"/>
        <v>2.8869438130027944E-2</v>
      </c>
    </row>
    <row r="34" spans="2:7" x14ac:dyDescent="0.3">
      <c r="B34" s="2" t="s">
        <v>5</v>
      </c>
      <c r="C34" s="6">
        <v>0.55816271205250256</v>
      </c>
      <c r="D34" s="6">
        <v>0.55773618083999632</v>
      </c>
      <c r="E34" s="11">
        <v>0.4656167435732162</v>
      </c>
      <c r="F34" s="2">
        <f t="shared" si="2"/>
        <v>0.52717187882190497</v>
      </c>
      <c r="G34" s="11">
        <f t="shared" si="3"/>
        <v>4.3526401863942236E-2</v>
      </c>
    </row>
    <row r="35" spans="2:7" x14ac:dyDescent="0.3">
      <c r="B35" s="2" t="s">
        <v>6</v>
      </c>
      <c r="C35" s="6">
        <v>1.5521415719835518</v>
      </c>
      <c r="D35" s="6">
        <v>1.2637636687129059</v>
      </c>
      <c r="E35" s="11">
        <v>1.1509216462974845</v>
      </c>
      <c r="F35" s="2">
        <f t="shared" si="2"/>
        <v>1.3222756289979809</v>
      </c>
      <c r="G35" s="11">
        <f t="shared" si="3"/>
        <v>0.16894199066382626</v>
      </c>
    </row>
    <row r="36" spans="2:7" x14ac:dyDescent="0.3">
      <c r="B36" s="2" t="s">
        <v>7</v>
      </c>
      <c r="C36" s="6">
        <v>1.4106656801493833</v>
      </c>
      <c r="D36" s="6">
        <v>1.2435291077890276</v>
      </c>
      <c r="E36" s="11">
        <v>1.1587008798360903</v>
      </c>
      <c r="F36" s="2">
        <f t="shared" si="2"/>
        <v>1.2709652225915005</v>
      </c>
      <c r="G36" s="11">
        <f t="shared" si="3"/>
        <v>0.10467766538544333</v>
      </c>
    </row>
    <row r="37" spans="2:7" x14ac:dyDescent="0.3">
      <c r="B37" s="2" t="s">
        <v>8</v>
      </c>
      <c r="C37" s="6">
        <v>0.49873736295911419</v>
      </c>
      <c r="D37" s="6">
        <v>0.38621820510719224</v>
      </c>
      <c r="E37" s="11">
        <v>0.39457516497096756</v>
      </c>
      <c r="F37" s="2">
        <f t="shared" si="2"/>
        <v>0.42651024434575796</v>
      </c>
      <c r="G37" s="11">
        <f t="shared" si="3"/>
        <v>5.1186112647423808E-2</v>
      </c>
    </row>
    <row r="38" spans="2:7" x14ac:dyDescent="0.3">
      <c r="B38" s="2" t="s">
        <v>9</v>
      </c>
      <c r="C38" s="6">
        <v>6.3287423747981936E-2</v>
      </c>
      <c r="D38" s="6">
        <v>5.5667890047126765E-2</v>
      </c>
      <c r="E38" s="11">
        <v>6.0509388547137777E-2</v>
      </c>
      <c r="F38" s="2">
        <f t="shared" si="2"/>
        <v>5.9821567447415493E-2</v>
      </c>
      <c r="G38" s="11">
        <f t="shared" si="3"/>
        <v>3.1484543142664256E-3</v>
      </c>
    </row>
    <row r="39" spans="2:7" x14ac:dyDescent="0.3">
      <c r="B39" s="2" t="s">
        <v>10</v>
      </c>
      <c r="C39" s="6">
        <v>2.2557210339931646E-2</v>
      </c>
      <c r="D39" s="6">
        <v>1.8432173680506217E-2</v>
      </c>
      <c r="E39" s="11">
        <v>1.8900913528631012E-2</v>
      </c>
      <c r="F39" s="2">
        <f t="shared" si="2"/>
        <v>1.9963432516356291E-2</v>
      </c>
      <c r="G39" s="11">
        <f t="shared" si="3"/>
        <v>1.8440339494088301E-3</v>
      </c>
    </row>
    <row r="40" spans="2:7" x14ac:dyDescent="0.3">
      <c r="B40" s="2" t="s">
        <v>11</v>
      </c>
      <c r="C40" s="6">
        <v>1.497883490859774</v>
      </c>
      <c r="D40" s="6">
        <v>1.3091793906632958</v>
      </c>
      <c r="E40" s="11">
        <v>1.3992567139407992</v>
      </c>
      <c r="F40" s="2">
        <f t="shared" si="2"/>
        <v>1.4021065318212897</v>
      </c>
      <c r="G40" s="11">
        <f t="shared" si="3"/>
        <v>7.7064477135294934E-2</v>
      </c>
    </row>
    <row r="41" spans="2:7" x14ac:dyDescent="0.3">
      <c r="B41" s="2" t="s">
        <v>12</v>
      </c>
      <c r="C41" s="6">
        <v>0.46634489503593829</v>
      </c>
      <c r="D41" s="6">
        <v>0.61948254990710927</v>
      </c>
      <c r="E41" s="11">
        <v>0.49491839140622584</v>
      </c>
      <c r="F41" s="2">
        <f t="shared" si="2"/>
        <v>0.52691527878309119</v>
      </c>
      <c r="G41" s="11">
        <f t="shared" si="3"/>
        <v>6.6486268939364546E-2</v>
      </c>
    </row>
    <row r="42" spans="2:7" x14ac:dyDescent="0.3">
      <c r="B42" s="2" t="s">
        <v>13</v>
      </c>
      <c r="C42" s="6">
        <v>3.1601138292569231</v>
      </c>
      <c r="D42" s="6">
        <v>2.9517518444956763</v>
      </c>
      <c r="E42" s="11">
        <v>3.0821418796768407</v>
      </c>
      <c r="F42" s="2">
        <f t="shared" si="2"/>
        <v>3.0646691844764802</v>
      </c>
      <c r="G42" s="11">
        <f t="shared" si="3"/>
        <v>8.5955998361894603E-2</v>
      </c>
    </row>
    <row r="43" spans="2:7" x14ac:dyDescent="0.3">
      <c r="B43" s="2"/>
      <c r="C43" s="6"/>
      <c r="D43" s="6"/>
      <c r="E43" s="11"/>
      <c r="F43" s="18"/>
      <c r="G43" s="19"/>
    </row>
    <row r="44" spans="2:7" ht="17.25" thickBot="1" x14ac:dyDescent="0.35">
      <c r="B44" s="4"/>
      <c r="C44" s="31"/>
      <c r="D44" s="31"/>
      <c r="E44" s="33"/>
      <c r="F44" s="4"/>
      <c r="G44" s="33"/>
    </row>
    <row r="45" spans="2:7" x14ac:dyDescent="0.3">
      <c r="B45" s="18" t="s">
        <v>14</v>
      </c>
      <c r="C45" s="27">
        <v>9.1915771646685283</v>
      </c>
      <c r="D45" s="27">
        <v>9.2389249641650952</v>
      </c>
      <c r="E45" s="29">
        <v>8.6614470784647928</v>
      </c>
      <c r="F45" s="30">
        <f>AVERAGE(C45:E45)</f>
        <v>9.0306497357661382</v>
      </c>
      <c r="G45" s="29">
        <f>_xlfn.STDEV.P(C45:E45)</f>
        <v>0.26178032157781089</v>
      </c>
    </row>
    <row r="46" spans="2:7" x14ac:dyDescent="0.3">
      <c r="B46" s="2" t="s">
        <v>15</v>
      </c>
      <c r="C46" s="7">
        <v>4.1055519612324662</v>
      </c>
      <c r="D46" s="7">
        <v>3.5253472261767551</v>
      </c>
      <c r="E46" s="12">
        <v>3.2492247367535274</v>
      </c>
      <c r="F46" s="20">
        <f>AVERAGE(C46:E46)</f>
        <v>3.6267079747209165</v>
      </c>
      <c r="G46" s="12">
        <f>_xlfn.STDEV.P(C46:E46)</f>
        <v>0.35686559547914321</v>
      </c>
    </row>
    <row r="47" spans="2:7" x14ac:dyDescent="0.3">
      <c r="B47" s="3" t="s">
        <v>16</v>
      </c>
      <c r="C47" s="8">
        <v>44.666458080924166</v>
      </c>
      <c r="D47" s="8">
        <v>38.157547981507328</v>
      </c>
      <c r="E47" s="13">
        <v>37.513647630915727</v>
      </c>
      <c r="F47" s="21">
        <f>AVERAGE(C47:E47)</f>
        <v>40.112551231115738</v>
      </c>
      <c r="G47" s="12">
        <f>_xlfn.STDEV.P(C47:E47)</f>
        <v>3.2308102815364106</v>
      </c>
    </row>
    <row r="48" spans="2:7" x14ac:dyDescent="0.3">
      <c r="B48" s="2" t="s">
        <v>17</v>
      </c>
      <c r="C48" s="7">
        <v>10.689460655528302</v>
      </c>
      <c r="D48" s="7">
        <v>10.548104354828391</v>
      </c>
      <c r="E48" s="12">
        <v>10.060703792405592</v>
      </c>
      <c r="F48" s="20">
        <f>AVERAGE(C48:E48)</f>
        <v>10.432756267587429</v>
      </c>
      <c r="G48" s="12">
        <f>_xlfn.STDEV.P(C48:E48)</f>
        <v>0.26933583021151519</v>
      </c>
    </row>
    <row r="49" spans="2:7" x14ac:dyDescent="0.3">
      <c r="B49" s="2"/>
      <c r="C49" s="7"/>
      <c r="D49" s="7"/>
      <c r="E49" s="12"/>
      <c r="F49" s="20"/>
      <c r="G49" s="12"/>
    </row>
    <row r="50" spans="2:7" ht="17.25" thickBot="1" x14ac:dyDescent="0.35">
      <c r="B50" s="4" t="s">
        <v>18</v>
      </c>
      <c r="C50" s="9">
        <v>14.315919379821164</v>
      </c>
      <c r="D50" s="9">
        <v>14.119338749231177</v>
      </c>
      <c r="E50" s="14">
        <v>13.637764063488657</v>
      </c>
      <c r="F50" s="22">
        <f>AVERAGE(C50:E50)</f>
        <v>14.024340730847001</v>
      </c>
      <c r="G50" s="14">
        <f>_xlfn.STDEV.P(C50:E50)</f>
        <v>0.28488842949501147</v>
      </c>
    </row>
    <row r="51" spans="2:7" ht="17.25" thickBot="1" x14ac:dyDescent="0.35"/>
    <row r="52" spans="2:7" ht="17.25" thickBot="1" x14ac:dyDescent="0.35">
      <c r="B52" s="57"/>
      <c r="C52" s="58"/>
      <c r="D52" s="58"/>
      <c r="E52" s="58"/>
      <c r="F52" s="58"/>
      <c r="G52" s="59"/>
    </row>
    <row r="53" spans="2:7" x14ac:dyDescent="0.3">
      <c r="B53" s="60" t="s">
        <v>25</v>
      </c>
      <c r="C53" s="34">
        <v>46092</v>
      </c>
      <c r="D53" s="34">
        <v>46093</v>
      </c>
      <c r="E53" s="35">
        <v>46094</v>
      </c>
      <c r="F53" s="15" t="s">
        <v>20</v>
      </c>
      <c r="G53" s="16" t="s">
        <v>21</v>
      </c>
    </row>
    <row r="54" spans="2:7" x14ac:dyDescent="0.3">
      <c r="B54" s="61"/>
      <c r="C54" s="6" t="s">
        <v>19</v>
      </c>
      <c r="D54" s="6" t="s">
        <v>19</v>
      </c>
      <c r="E54" s="11" t="s">
        <v>19</v>
      </c>
      <c r="F54" s="17" t="s">
        <v>19</v>
      </c>
      <c r="G54" s="11"/>
    </row>
    <row r="55" spans="2:7" x14ac:dyDescent="0.3">
      <c r="B55" s="2" t="s">
        <v>1</v>
      </c>
      <c r="C55" s="6">
        <v>0.98107595549857074</v>
      </c>
      <c r="D55" s="6">
        <v>1.306211490589777</v>
      </c>
      <c r="E55" s="11">
        <v>1.5000328103736644</v>
      </c>
      <c r="F55" s="2">
        <f>AVERAGE(C55:E55)</f>
        <v>1.2624400854873372</v>
      </c>
      <c r="G55" s="11">
        <f>_xlfn.STDEV.P(C55:E55)</f>
        <v>0.21411212986648551</v>
      </c>
    </row>
    <row r="56" spans="2:7" x14ac:dyDescent="0.3">
      <c r="B56" s="2" t="s">
        <v>2</v>
      </c>
      <c r="C56" s="6">
        <v>3.2167253105202471</v>
      </c>
      <c r="D56" s="6">
        <v>3.5108163766146157</v>
      </c>
      <c r="E56" s="11">
        <v>3.4945835863346995</v>
      </c>
      <c r="F56" s="2">
        <f t="shared" ref="F56:F67" si="4">AVERAGE(C56:E56)</f>
        <v>3.4073750911565206</v>
      </c>
      <c r="G56" s="11">
        <f t="shared" ref="G56:G67" si="5">_xlfn.STDEV.P(C56:E56)</f>
        <v>0.1349725404482022</v>
      </c>
    </row>
    <row r="57" spans="2:7" x14ac:dyDescent="0.3">
      <c r="B57" s="2" t="s">
        <v>3</v>
      </c>
      <c r="C57" s="6">
        <v>0.26930528928218089</v>
      </c>
      <c r="D57" s="6">
        <v>0.31154892376934806</v>
      </c>
      <c r="E57" s="11">
        <v>0.37908162079514274</v>
      </c>
      <c r="F57" s="2">
        <f t="shared" si="4"/>
        <v>0.31997861128222388</v>
      </c>
      <c r="G57" s="11">
        <f t="shared" si="5"/>
        <v>4.5210658505743795E-2</v>
      </c>
    </row>
    <row r="58" spans="2:7" x14ac:dyDescent="0.3">
      <c r="B58" s="2" t="s">
        <v>4</v>
      </c>
      <c r="C58" s="6">
        <v>0.35669917930086054</v>
      </c>
      <c r="D58" s="6">
        <v>0.43353541559253483</v>
      </c>
      <c r="E58" s="11">
        <v>0.49456140294577094</v>
      </c>
      <c r="F58" s="2">
        <f t="shared" si="4"/>
        <v>0.42826533261305544</v>
      </c>
      <c r="G58" s="11">
        <f t="shared" si="5"/>
        <v>5.6405250985097764E-2</v>
      </c>
    </row>
    <row r="59" spans="2:7" x14ac:dyDescent="0.3">
      <c r="B59" s="2" t="s">
        <v>5</v>
      </c>
      <c r="C59" s="6">
        <v>0.56044603824466732</v>
      </c>
      <c r="D59" s="6">
        <v>0.4103617896730522</v>
      </c>
      <c r="E59" s="11">
        <v>0.5819333836726619</v>
      </c>
      <c r="F59" s="2">
        <f t="shared" si="4"/>
        <v>0.51758040386346049</v>
      </c>
      <c r="G59" s="11">
        <f t="shared" si="5"/>
        <v>7.63208137843987E-2</v>
      </c>
    </row>
    <row r="60" spans="2:7" x14ac:dyDescent="0.3">
      <c r="B60" s="2" t="s">
        <v>6</v>
      </c>
      <c r="C60" s="6">
        <v>1.6791651709837581</v>
      </c>
      <c r="D60" s="6">
        <v>1.1427639699919279</v>
      </c>
      <c r="E60" s="11">
        <v>1.4230372552419237</v>
      </c>
      <c r="F60" s="2">
        <f t="shared" si="4"/>
        <v>1.4149887987392031</v>
      </c>
      <c r="G60" s="11">
        <f t="shared" si="5"/>
        <v>0.21905881302430616</v>
      </c>
    </row>
    <row r="61" spans="2:7" x14ac:dyDescent="0.3">
      <c r="B61" s="2" t="s">
        <v>7</v>
      </c>
      <c r="C61" s="6">
        <v>1.5391967154221633</v>
      </c>
      <c r="D61" s="6">
        <v>1.0966274113423682</v>
      </c>
      <c r="E61" s="11">
        <v>1.3835657761456641</v>
      </c>
      <c r="F61" s="2">
        <f t="shared" si="4"/>
        <v>1.3397966343033987</v>
      </c>
      <c r="G61" s="11">
        <f t="shared" si="5"/>
        <v>0.18330975708096686</v>
      </c>
    </row>
    <row r="62" spans="2:7" x14ac:dyDescent="0.3">
      <c r="B62" s="2" t="s">
        <v>8</v>
      </c>
      <c r="C62" s="6">
        <v>0.46425378263052047</v>
      </c>
      <c r="D62" s="6">
        <v>0.36849194310330258</v>
      </c>
      <c r="E62" s="11">
        <v>0.44461990728966055</v>
      </c>
      <c r="F62" s="2">
        <f t="shared" si="4"/>
        <v>0.42578854434116126</v>
      </c>
      <c r="G62" s="11">
        <f t="shared" si="5"/>
        <v>4.1300102100622328E-2</v>
      </c>
    </row>
    <row r="63" spans="2:7" x14ac:dyDescent="0.3">
      <c r="B63" s="2" t="s">
        <v>9</v>
      </c>
      <c r="C63" s="6">
        <v>5.9260908903868328E-2</v>
      </c>
      <c r="D63" s="6">
        <v>2.8848606972419776E-2</v>
      </c>
      <c r="E63" s="11">
        <v>6.9993906962920599E-2</v>
      </c>
      <c r="F63" s="2">
        <f t="shared" si="4"/>
        <v>5.2701140946402901E-2</v>
      </c>
      <c r="G63" s="11">
        <f t="shared" si="5"/>
        <v>1.7426165089101303E-2</v>
      </c>
    </row>
    <row r="64" spans="2:7" x14ac:dyDescent="0.3">
      <c r="B64" s="2" t="s">
        <v>10</v>
      </c>
      <c r="C64" s="6">
        <v>1.935810375009403E-2</v>
      </c>
      <c r="D64" s="6">
        <v>2.2237005690451041E-2</v>
      </c>
      <c r="E64" s="11">
        <v>2.0886119357447164E-2</v>
      </c>
      <c r="F64" s="2">
        <f t="shared" si="4"/>
        <v>2.0827076265997412E-2</v>
      </c>
      <c r="G64" s="11">
        <f t="shared" si="5"/>
        <v>1.1760480887372472E-3</v>
      </c>
    </row>
    <row r="65" spans="2:7" x14ac:dyDescent="0.3">
      <c r="B65" s="2" t="s">
        <v>11</v>
      </c>
      <c r="C65" s="6">
        <v>1.5522627030680258</v>
      </c>
      <c r="D65" s="6">
        <v>1.6617946724799195</v>
      </c>
      <c r="E65" s="11">
        <v>1.3108871604601489</v>
      </c>
      <c r="F65" s="2">
        <f t="shared" si="4"/>
        <v>1.5083148453360316</v>
      </c>
      <c r="G65" s="11">
        <f t="shared" si="5"/>
        <v>0.14658917910814584</v>
      </c>
    </row>
    <row r="66" spans="2:7" x14ac:dyDescent="0.3">
      <c r="B66" s="2" t="s">
        <v>12</v>
      </c>
      <c r="C66" s="6">
        <v>0.49345267378510904</v>
      </c>
      <c r="D66" s="6">
        <v>0.56259353382751576</v>
      </c>
      <c r="E66" s="11">
        <v>0.53028786309864651</v>
      </c>
      <c r="F66" s="2">
        <f t="shared" si="4"/>
        <v>0.52877802357042369</v>
      </c>
      <c r="G66" s="11">
        <f t="shared" si="5"/>
        <v>2.8246820982211505E-2</v>
      </c>
    </row>
    <row r="67" spans="2:7" x14ac:dyDescent="0.3">
      <c r="B67" s="2" t="s">
        <v>13</v>
      </c>
      <c r="C67" s="6">
        <v>2.8418010786212529</v>
      </c>
      <c r="D67" s="6">
        <v>2.6669694800003163</v>
      </c>
      <c r="E67" s="11">
        <v>2.9062018668850604</v>
      </c>
      <c r="F67" s="2">
        <f t="shared" si="4"/>
        <v>2.8049908085022097</v>
      </c>
      <c r="G67" s="11">
        <f t="shared" si="5"/>
        <v>0.10107515594289448</v>
      </c>
    </row>
    <row r="68" spans="2:7" x14ac:dyDescent="0.3">
      <c r="B68" s="2"/>
      <c r="C68" s="6"/>
      <c r="D68" s="6"/>
      <c r="E68" s="11"/>
      <c r="F68" s="18"/>
      <c r="G68" s="19"/>
    </row>
    <row r="69" spans="2:7" ht="17.25" thickBot="1" x14ac:dyDescent="0.35">
      <c r="B69" s="4"/>
      <c r="C69" s="31"/>
      <c r="D69" s="31"/>
      <c r="E69" s="33"/>
      <c r="F69" s="4"/>
      <c r="G69" s="33"/>
    </row>
    <row r="70" spans="2:7" x14ac:dyDescent="0.3">
      <c r="B70" s="18" t="s">
        <v>14</v>
      </c>
      <c r="C70" s="27">
        <v>9.145486454536929</v>
      </c>
      <c r="D70" s="27">
        <v>8.6314429333397982</v>
      </c>
      <c r="E70" s="29">
        <v>9.7922957691195549</v>
      </c>
      <c r="F70" s="30">
        <f>AVERAGE(C70:E70)</f>
        <v>9.1897417189987607</v>
      </c>
      <c r="G70" s="29">
        <f>_xlfn.STDEV.P(C70:E70)</f>
        <v>0.47494822378087748</v>
      </c>
    </row>
    <row r="71" spans="2:7" x14ac:dyDescent="0.3">
      <c r="B71" s="2" t="s">
        <v>15</v>
      </c>
      <c r="C71" s="7">
        <v>4.3216807199350722</v>
      </c>
      <c r="D71" s="7">
        <v>3.0693307267735217</v>
      </c>
      <c r="E71" s="12">
        <v>3.9240363486702776</v>
      </c>
      <c r="F71" s="20">
        <f>AVERAGE(C71:E71)</f>
        <v>3.7716825984596238</v>
      </c>
      <c r="G71" s="12">
        <f>_xlfn.STDEV.P(C71:E71)</f>
        <v>0.52249649137282439</v>
      </c>
    </row>
    <row r="72" spans="2:7" x14ac:dyDescent="0.3">
      <c r="B72" s="3" t="s">
        <v>16</v>
      </c>
      <c r="C72" s="8">
        <v>47.254793295234236</v>
      </c>
      <c r="D72" s="8">
        <v>35.559879738275619</v>
      </c>
      <c r="E72" s="13">
        <v>40.072690216781467</v>
      </c>
      <c r="F72" s="21">
        <f>AVERAGE(C72:E72)</f>
        <v>40.962454416763769</v>
      </c>
      <c r="G72" s="12">
        <f>_xlfn.STDEV.P(C72:E72)</f>
        <v>4.8157042423624734</v>
      </c>
    </row>
    <row r="73" spans="2:7" x14ac:dyDescent="0.3">
      <c r="B73" s="2" t="s">
        <v>17</v>
      </c>
      <c r="C73" s="7">
        <v>10.697749157604955</v>
      </c>
      <c r="D73" s="7">
        <v>10.293237605819717</v>
      </c>
      <c r="E73" s="12">
        <v>11.103182929579704</v>
      </c>
      <c r="F73" s="20">
        <f>AVERAGE(C73:E73)</f>
        <v>10.698056564334792</v>
      </c>
      <c r="G73" s="12">
        <f>_xlfn.STDEV.P(C73:E73)</f>
        <v>0.33065886524164706</v>
      </c>
    </row>
    <row r="74" spans="2:7" x14ac:dyDescent="0.3">
      <c r="B74" s="2"/>
      <c r="C74" s="7"/>
      <c r="D74" s="7"/>
      <c r="E74" s="12"/>
      <c r="F74" s="20"/>
      <c r="G74" s="12"/>
    </row>
    <row r="75" spans="2:7" ht="17.25" thickBot="1" x14ac:dyDescent="0.35">
      <c r="B75" s="4" t="s">
        <v>18</v>
      </c>
      <c r="C75" s="9">
        <v>14.033002910011316</v>
      </c>
      <c r="D75" s="9">
        <v>13.522800619647549</v>
      </c>
      <c r="E75" s="14">
        <v>14.539672659563411</v>
      </c>
      <c r="F75" s="22">
        <f>AVERAGE(C75:E75)</f>
        <v>14.031825396407427</v>
      </c>
      <c r="G75" s="14">
        <f>_xlfn.STDEV.P(C75:E75)</f>
        <v>0.41513710690515815</v>
      </c>
    </row>
    <row r="77" spans="2:7" ht="17.25" thickBot="1" x14ac:dyDescent="0.35"/>
    <row r="78" spans="2:7" x14ac:dyDescent="0.3">
      <c r="B78" s="55" t="s">
        <v>33</v>
      </c>
      <c r="C78" s="34" t="s">
        <v>28</v>
      </c>
      <c r="D78" s="34" t="s">
        <v>30</v>
      </c>
      <c r="E78" s="34" t="s">
        <v>32</v>
      </c>
    </row>
    <row r="79" spans="2:7" ht="17.25" thickBot="1" x14ac:dyDescent="0.35">
      <c r="B79" s="56"/>
      <c r="C79" s="31" t="s">
        <v>19</v>
      </c>
      <c r="D79" s="31" t="s">
        <v>19</v>
      </c>
      <c r="E79" s="31" t="s">
        <v>19</v>
      </c>
    </row>
    <row r="80" spans="2:7" x14ac:dyDescent="0.3">
      <c r="B80" s="18" t="s">
        <v>1</v>
      </c>
      <c r="C80" s="46">
        <v>1.4755532016696842</v>
      </c>
      <c r="D80" s="46">
        <v>1.1935558371500341</v>
      </c>
      <c r="E80" s="46">
        <v>1.2624400854873372</v>
      </c>
    </row>
    <row r="81" spans="2:5" x14ac:dyDescent="0.3">
      <c r="B81" s="2" t="s">
        <v>2</v>
      </c>
      <c r="C81" s="6">
        <v>3.8390631769684376</v>
      </c>
      <c r="D81" s="6">
        <v>3.4770432266549065</v>
      </c>
      <c r="E81" s="6">
        <v>3.4073750911565206</v>
      </c>
    </row>
    <row r="82" spans="2:5" x14ac:dyDescent="0.3">
      <c r="B82" s="2" t="s">
        <v>3</v>
      </c>
      <c r="C82" s="6">
        <v>0.34782025797599975</v>
      </c>
      <c r="D82" s="6">
        <v>0.31952818750870415</v>
      </c>
      <c r="E82" s="6">
        <v>0.31997861128222388</v>
      </c>
    </row>
    <row r="83" spans="2:5" x14ac:dyDescent="0.3">
      <c r="B83" s="2" t="s">
        <v>4</v>
      </c>
      <c r="C83" s="6">
        <v>0.41477050382935415</v>
      </c>
      <c r="D83" s="6">
        <v>0.41381450973157702</v>
      </c>
      <c r="E83" s="6">
        <v>0.42826533261305544</v>
      </c>
    </row>
    <row r="84" spans="2:5" x14ac:dyDescent="0.3">
      <c r="B84" s="2" t="s">
        <v>5</v>
      </c>
      <c r="C84" s="6">
        <v>0.44064393081190939</v>
      </c>
      <c r="D84" s="6">
        <v>0.52717187882190497</v>
      </c>
      <c r="E84" s="6">
        <v>0.51758040386346049</v>
      </c>
    </row>
    <row r="85" spans="2:5" x14ac:dyDescent="0.3">
      <c r="B85" s="2" t="s">
        <v>6</v>
      </c>
      <c r="C85" s="6">
        <v>1.0842365752057688</v>
      </c>
      <c r="D85" s="6">
        <v>1.3222756289979809</v>
      </c>
      <c r="E85" s="6">
        <v>1.4149887987392031</v>
      </c>
    </row>
    <row r="86" spans="2:5" x14ac:dyDescent="0.3">
      <c r="B86" s="2" t="s">
        <v>7</v>
      </c>
      <c r="C86" s="6">
        <v>1.2058897261374333</v>
      </c>
      <c r="D86" s="6">
        <v>1.2709652225915005</v>
      </c>
      <c r="E86" s="6">
        <v>1.3397966343033987</v>
      </c>
    </row>
    <row r="87" spans="2:5" x14ac:dyDescent="0.3">
      <c r="B87" s="2" t="s">
        <v>8</v>
      </c>
      <c r="C87" s="6">
        <v>0.44410961211813244</v>
      </c>
      <c r="D87" s="6">
        <v>0.42651024434575796</v>
      </c>
      <c r="E87" s="6">
        <v>0.42578854434116126</v>
      </c>
    </row>
    <row r="88" spans="2:5" x14ac:dyDescent="0.3">
      <c r="B88" s="2" t="s">
        <v>9</v>
      </c>
      <c r="C88" s="6">
        <v>5.8700612015297443E-2</v>
      </c>
      <c r="D88" s="6">
        <v>5.9821567447415493E-2</v>
      </c>
      <c r="E88" s="6">
        <v>5.2701140946402901E-2</v>
      </c>
    </row>
    <row r="89" spans="2:5" x14ac:dyDescent="0.3">
      <c r="B89" s="2" t="s">
        <v>10</v>
      </c>
      <c r="C89" s="6">
        <v>2.4231229561095025E-2</v>
      </c>
      <c r="D89" s="6">
        <v>1.9963432516356291E-2</v>
      </c>
      <c r="E89" s="6">
        <v>2.0827076265997412E-2</v>
      </c>
    </row>
    <row r="90" spans="2:5" x14ac:dyDescent="0.3">
      <c r="B90" s="2" t="s">
        <v>11</v>
      </c>
      <c r="C90" s="6">
        <v>1.6160349466493518</v>
      </c>
      <c r="D90" s="6">
        <v>1.4021065318212897</v>
      </c>
      <c r="E90" s="6">
        <v>1.5083148453360316</v>
      </c>
    </row>
    <row r="91" spans="2:5" x14ac:dyDescent="0.3">
      <c r="B91" s="2" t="s">
        <v>12</v>
      </c>
      <c r="C91" s="6">
        <v>0.51763102389384985</v>
      </c>
      <c r="D91" s="6">
        <v>0.52691527878309119</v>
      </c>
      <c r="E91" s="6">
        <v>0.52877802357042369</v>
      </c>
    </row>
    <row r="92" spans="2:5" ht="17.25" thickBot="1" x14ac:dyDescent="0.35">
      <c r="B92" s="4" t="s">
        <v>13</v>
      </c>
      <c r="C92" s="31">
        <v>2.7292309040850964</v>
      </c>
      <c r="D92" s="31">
        <v>3.0646691844764802</v>
      </c>
      <c r="E92" s="31">
        <v>2.8049908085022097</v>
      </c>
    </row>
    <row r="93" spans="2:5" ht="17.25" thickBot="1" x14ac:dyDescent="0.35">
      <c r="B93" s="47"/>
      <c r="C93" s="48"/>
      <c r="D93" s="48"/>
      <c r="E93" s="48"/>
    </row>
    <row r="94" spans="2:5" ht="17.25" thickBot="1" x14ac:dyDescent="0.35">
      <c r="B94" s="50"/>
      <c r="C94" s="51" t="s">
        <v>27</v>
      </c>
      <c r="D94" s="51" t="s">
        <v>29</v>
      </c>
      <c r="E94" s="51" t="s">
        <v>31</v>
      </c>
    </row>
    <row r="95" spans="2:5" x14ac:dyDescent="0.3">
      <c r="B95" s="18" t="s">
        <v>14</v>
      </c>
      <c r="C95" s="27">
        <v>9.335018826293112</v>
      </c>
      <c r="D95" s="27">
        <v>9.0306497357661382</v>
      </c>
      <c r="E95" s="27">
        <v>9.1897417189987607</v>
      </c>
    </row>
    <row r="96" spans="2:5" x14ac:dyDescent="0.3">
      <c r="B96" s="2" t="s">
        <v>15</v>
      </c>
      <c r="C96" s="7">
        <v>3.2578116858496364</v>
      </c>
      <c r="D96" s="7">
        <v>3.6267079747209165</v>
      </c>
      <c r="E96" s="7">
        <v>3.7716825984596238</v>
      </c>
    </row>
    <row r="97" spans="2:5" x14ac:dyDescent="0.3">
      <c r="B97" s="3" t="s">
        <v>16</v>
      </c>
      <c r="C97" s="8">
        <v>34.880378684035293</v>
      </c>
      <c r="D97" s="8">
        <v>40.112551231115738</v>
      </c>
      <c r="E97" s="8">
        <v>40.962454416763769</v>
      </c>
    </row>
    <row r="98" spans="2:5" x14ac:dyDescent="0.3">
      <c r="B98" s="2" t="s">
        <v>17</v>
      </c>
      <c r="C98" s="7">
        <v>10.951053772942464</v>
      </c>
      <c r="D98" s="7">
        <v>10.432756267587429</v>
      </c>
      <c r="E98" s="7">
        <v>10.698056564334792</v>
      </c>
    </row>
    <row r="99" spans="2:5" x14ac:dyDescent="0.3">
      <c r="B99" s="2"/>
      <c r="C99" s="7"/>
      <c r="D99" s="7"/>
      <c r="E99" s="7"/>
    </row>
    <row r="100" spans="2:5" ht="17.25" thickBot="1" x14ac:dyDescent="0.35">
      <c r="B100" s="4" t="s">
        <v>18</v>
      </c>
      <c r="C100" s="9">
        <v>14.197915700921412</v>
      </c>
      <c r="D100" s="9">
        <v>14.024340730847001</v>
      </c>
      <c r="E100" s="9">
        <v>14.031825396407427</v>
      </c>
    </row>
    <row r="102" spans="2:5" ht="17.25" thickBot="1" x14ac:dyDescent="0.35"/>
    <row r="103" spans="2:5" x14ac:dyDescent="0.3">
      <c r="B103" s="55" t="s">
        <v>34</v>
      </c>
      <c r="C103" s="34" t="s">
        <v>27</v>
      </c>
      <c r="D103" s="34" t="s">
        <v>29</v>
      </c>
      <c r="E103" s="34" t="s">
        <v>31</v>
      </c>
    </row>
    <row r="104" spans="2:5" ht="17.25" thickBot="1" x14ac:dyDescent="0.35">
      <c r="B104" s="56"/>
      <c r="C104" s="31"/>
      <c r="D104" s="31"/>
      <c r="E104" s="31"/>
    </row>
    <row r="105" spans="2:5" x14ac:dyDescent="0.3">
      <c r="B105" s="1" t="s">
        <v>1</v>
      </c>
      <c r="C105" s="5">
        <v>0.21550219733288747</v>
      </c>
      <c r="D105" s="5">
        <v>0.14601100870036238</v>
      </c>
      <c r="E105" s="5">
        <v>0.21411212986648551</v>
      </c>
    </row>
    <row r="106" spans="2:5" x14ac:dyDescent="0.3">
      <c r="B106" s="2" t="s">
        <v>2</v>
      </c>
      <c r="C106" s="6">
        <v>7.5969642815514535E-2</v>
      </c>
      <c r="D106" s="6">
        <v>8.4130093468417474E-2</v>
      </c>
      <c r="E106" s="6">
        <v>0.1349725404482022</v>
      </c>
    </row>
    <row r="107" spans="2:5" x14ac:dyDescent="0.3">
      <c r="B107" s="2" t="s">
        <v>3</v>
      </c>
      <c r="C107" s="6">
        <v>1.1030764626278977E-2</v>
      </c>
      <c r="D107" s="6">
        <v>1.3948015637439052E-2</v>
      </c>
      <c r="E107" s="6">
        <v>4.5210658505743795E-2</v>
      </c>
    </row>
    <row r="108" spans="2:5" x14ac:dyDescent="0.3">
      <c r="B108" s="2" t="s">
        <v>4</v>
      </c>
      <c r="C108" s="6">
        <v>3.2144027962755048E-2</v>
      </c>
      <c r="D108" s="6">
        <v>2.8869438130027944E-2</v>
      </c>
      <c r="E108" s="6">
        <v>5.6405250985097764E-2</v>
      </c>
    </row>
    <row r="109" spans="2:5" x14ac:dyDescent="0.3">
      <c r="B109" s="2" t="s">
        <v>5</v>
      </c>
      <c r="C109" s="6">
        <v>1.7825815249167473E-2</v>
      </c>
      <c r="D109" s="6">
        <v>4.3526401863942236E-2</v>
      </c>
      <c r="E109" s="6">
        <v>7.63208137843987E-2</v>
      </c>
    </row>
    <row r="110" spans="2:5" x14ac:dyDescent="0.3">
      <c r="B110" s="2" t="s">
        <v>6</v>
      </c>
      <c r="C110" s="6">
        <v>0.1143114391987828</v>
      </c>
      <c r="D110" s="6">
        <v>0.16894199066382626</v>
      </c>
      <c r="E110" s="6">
        <v>0.21905881302430616</v>
      </c>
    </row>
    <row r="111" spans="2:5" x14ac:dyDescent="0.3">
      <c r="B111" s="2" t="s">
        <v>7</v>
      </c>
      <c r="C111" s="6">
        <v>0.13957708296013319</v>
      </c>
      <c r="D111" s="6">
        <v>0.10467766538544333</v>
      </c>
      <c r="E111" s="6">
        <v>0.18330975708096686</v>
      </c>
    </row>
    <row r="112" spans="2:5" x14ac:dyDescent="0.3">
      <c r="B112" s="2" t="s">
        <v>8</v>
      </c>
      <c r="C112" s="6">
        <v>5.2687763656841996E-2</v>
      </c>
      <c r="D112" s="6">
        <v>5.1186112647423808E-2</v>
      </c>
      <c r="E112" s="6">
        <v>4.1300102100622328E-2</v>
      </c>
    </row>
    <row r="113" spans="2:5" x14ac:dyDescent="0.3">
      <c r="B113" s="2" t="s">
        <v>9</v>
      </c>
      <c r="C113" s="6">
        <v>4.1619630916888799E-3</v>
      </c>
      <c r="D113" s="6">
        <v>3.1484543142664256E-3</v>
      </c>
      <c r="E113" s="6">
        <v>1.7426165089101303E-2</v>
      </c>
    </row>
    <row r="114" spans="2:5" x14ac:dyDescent="0.3">
      <c r="B114" s="2" t="s">
        <v>10</v>
      </c>
      <c r="C114" s="6">
        <v>3.2843892654371028E-3</v>
      </c>
      <c r="D114" s="6">
        <v>1.8440339494088301E-3</v>
      </c>
      <c r="E114" s="6">
        <v>1.1760480887372472E-3</v>
      </c>
    </row>
    <row r="115" spans="2:5" x14ac:dyDescent="0.3">
      <c r="B115" s="2" t="s">
        <v>11</v>
      </c>
      <c r="C115" s="6">
        <v>6.6176946029007117E-2</v>
      </c>
      <c r="D115" s="6">
        <v>7.7064477135294934E-2</v>
      </c>
      <c r="E115" s="6">
        <v>0.14658917910814584</v>
      </c>
    </row>
    <row r="116" spans="2:5" x14ac:dyDescent="0.3">
      <c r="B116" s="2" t="s">
        <v>12</v>
      </c>
      <c r="C116" s="6">
        <v>5.1350655376998414E-2</v>
      </c>
      <c r="D116" s="6">
        <v>6.6486268939364546E-2</v>
      </c>
      <c r="E116" s="6">
        <v>2.8246820982211505E-2</v>
      </c>
    </row>
    <row r="117" spans="2:5" ht="17.25" thickBot="1" x14ac:dyDescent="0.35">
      <c r="B117" s="4" t="s">
        <v>13</v>
      </c>
      <c r="C117" s="31">
        <v>0.12056391102159898</v>
      </c>
      <c r="D117" s="31">
        <v>8.5955998361894603E-2</v>
      </c>
      <c r="E117" s="31">
        <v>0.10107515594289448</v>
      </c>
    </row>
    <row r="118" spans="2:5" ht="17.25" thickBot="1" x14ac:dyDescent="0.35">
      <c r="B118" s="47"/>
      <c r="C118" s="48"/>
      <c r="D118" s="48"/>
      <c r="E118" s="48"/>
    </row>
    <row r="119" spans="2:5" ht="17.25" thickBot="1" x14ac:dyDescent="0.35">
      <c r="B119" s="50"/>
      <c r="C119" s="51" t="s">
        <v>27</v>
      </c>
      <c r="D119" s="51" t="s">
        <v>29</v>
      </c>
      <c r="E119" s="51" t="s">
        <v>31</v>
      </c>
    </row>
    <row r="120" spans="2:5" x14ac:dyDescent="0.3">
      <c r="B120" s="18" t="s">
        <v>14</v>
      </c>
      <c r="C120" s="27">
        <v>0.11153763671889715</v>
      </c>
      <c r="D120" s="27">
        <v>0.26178032157781089</v>
      </c>
      <c r="E120" s="27">
        <v>0.47494822378087748</v>
      </c>
    </row>
    <row r="121" spans="2:5" x14ac:dyDescent="0.3">
      <c r="B121" s="2" t="s">
        <v>15</v>
      </c>
      <c r="C121" s="7">
        <v>0.29767969980510961</v>
      </c>
      <c r="D121" s="7">
        <v>0.35686559547914321</v>
      </c>
      <c r="E121" s="7">
        <v>0.52249649137282439</v>
      </c>
    </row>
    <row r="122" spans="2:5" x14ac:dyDescent="0.3">
      <c r="B122" s="3" t="s">
        <v>16</v>
      </c>
      <c r="C122" s="7">
        <v>2.924337636721261</v>
      </c>
      <c r="D122" s="7">
        <v>3.2308102815364106</v>
      </c>
      <c r="E122" s="7">
        <v>4.8157042423624734</v>
      </c>
    </row>
    <row r="123" spans="2:5" x14ac:dyDescent="0.3">
      <c r="B123" s="2" t="s">
        <v>17</v>
      </c>
      <c r="C123" s="7">
        <v>0.11396630470586686</v>
      </c>
      <c r="D123" s="7">
        <v>0.26933583021151519</v>
      </c>
      <c r="E123" s="7">
        <v>0.33065886524164706</v>
      </c>
    </row>
    <row r="124" spans="2:5" x14ac:dyDescent="0.3">
      <c r="B124" s="2"/>
      <c r="C124" s="7"/>
      <c r="D124" s="7"/>
      <c r="E124" s="7"/>
    </row>
    <row r="125" spans="2:5" ht="17.25" thickBot="1" x14ac:dyDescent="0.35">
      <c r="B125" s="4" t="s">
        <v>18</v>
      </c>
      <c r="C125" s="9">
        <v>0.17032494514162269</v>
      </c>
      <c r="D125" s="9">
        <v>0.28488842949501147</v>
      </c>
      <c r="E125" s="9">
        <v>0.41513710690515815</v>
      </c>
    </row>
  </sheetData>
  <mergeCells count="8">
    <mergeCell ref="B78:B79"/>
    <mergeCell ref="B103:B104"/>
    <mergeCell ref="B2:G2"/>
    <mergeCell ref="B3:B4"/>
    <mergeCell ref="B27:G27"/>
    <mergeCell ref="B28:B29"/>
    <mergeCell ref="B52:G52"/>
    <mergeCell ref="B53:B54"/>
  </mergeCells>
  <phoneticPr fontId="1" type="noConversion"/>
  <conditionalFormatting sqref="C80:C81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{520AFE68-8638-4761-8F46-26E988BBCACB}</x14:id>
        </ext>
      </extLst>
    </cfRule>
  </conditionalFormatting>
  <conditionalFormatting sqref="C82:C8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{D99E1720-4E43-4D07-A2AB-548DD40E123B}</x14:id>
        </ext>
      </extLst>
    </cfRule>
  </conditionalFormatting>
  <conditionalFormatting sqref="C5:E6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{F5217B24-D689-4313-9B73-172E2B7C6DC0}</x14:id>
        </ext>
      </extLst>
    </cfRule>
  </conditionalFormatting>
  <conditionalFormatting sqref="C7:E14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{F0A161EB-61A6-473B-9B0C-85D6F412015C}</x14:id>
        </ext>
      </extLst>
    </cfRule>
  </conditionalFormatting>
  <conditionalFormatting sqref="C30:E31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{F0ADEE90-1F23-49FD-BDE2-25D7D5B4B069}</x14:id>
        </ext>
      </extLst>
    </cfRule>
  </conditionalFormatting>
  <conditionalFormatting sqref="C32:E3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{5F2883F3-ECCB-4801-8F5B-B9B4755F4EFF}</x14:id>
        </ext>
      </extLst>
    </cfRule>
  </conditionalFormatting>
  <conditionalFormatting sqref="C55:E5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{01A07594-F077-4786-981A-BA948FA1EFA4}</x14:id>
        </ext>
      </extLst>
    </cfRule>
  </conditionalFormatting>
  <conditionalFormatting sqref="C57:E64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{EF307CB2-FEEB-4341-96BE-2BC4D58775DF}</x14:id>
        </ext>
      </extLst>
    </cfRule>
  </conditionalFormatting>
  <conditionalFormatting sqref="D80:D81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{491944D3-CBD9-4492-832F-FE8A3247BA46}</x14:id>
        </ext>
      </extLst>
    </cfRule>
  </conditionalFormatting>
  <conditionalFormatting sqref="D82:D8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{13B9FA5C-A05B-44E2-B420-FFE54F29A166}</x14:id>
        </ext>
      </extLst>
    </cfRule>
  </conditionalFormatting>
  <conditionalFormatting sqref="E80:E8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{B9243F24-16D8-47F4-9AC5-B655411D0EFB}</x14:id>
        </ext>
      </extLst>
    </cfRule>
  </conditionalFormatting>
  <conditionalFormatting sqref="E82:E8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{5D4B16F0-0F01-4535-9534-46A4FB6F7FD2}</x14:id>
        </ext>
      </extLst>
    </cfRule>
  </conditionalFormatting>
  <conditionalFormatting sqref="F5:F14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{E4FFAFB1-4D77-461D-B3AB-E983EC2E1EAB}</x14:id>
        </ext>
      </extLst>
    </cfRule>
  </conditionalFormatting>
  <conditionalFormatting sqref="F7:F1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{475B1259-583D-4A9B-9BB0-96EBB7850AD5}</x14:id>
        </ext>
      </extLst>
    </cfRule>
  </conditionalFormatting>
  <conditionalFormatting sqref="F30:F39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{8D271CD9-9855-436A-92C1-D0E47FDE869B}</x14:id>
        </ext>
      </extLst>
    </cfRule>
  </conditionalFormatting>
  <conditionalFormatting sqref="F32:F3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{FA0811A7-617D-45E0-9A31-2ED9FCAC7241}</x14:id>
        </ext>
      </extLst>
    </cfRule>
  </conditionalFormatting>
  <conditionalFormatting sqref="F55:F64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{145EFCC2-4510-4546-A6DC-085DE1B17218}</x14:id>
        </ext>
      </extLst>
    </cfRule>
  </conditionalFormatting>
  <conditionalFormatting sqref="F57:F64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{8452AB15-26C7-4E62-8F16-A12C972730A0}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0AFE68-8638-4761-8F46-26E988BBCAC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C80:C81</xm:sqref>
        </x14:conditionalFormatting>
        <x14:conditionalFormatting xmlns:xm="http://schemas.microsoft.com/office/excel/2006/main">
          <x14:cfRule type="dataBar" id="{D99E1720-4E43-4D07-A2AB-548DD40E12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C82:C89</xm:sqref>
        </x14:conditionalFormatting>
        <x14:conditionalFormatting xmlns:xm="http://schemas.microsoft.com/office/excel/2006/main">
          <x14:cfRule type="dataBar" id="{F5217B24-D689-4313-9B73-172E2B7C6DC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C5:E6</xm:sqref>
        </x14:conditionalFormatting>
        <x14:conditionalFormatting xmlns:xm="http://schemas.microsoft.com/office/excel/2006/main">
          <x14:cfRule type="dataBar" id="{F0A161EB-61A6-473B-9B0C-85D6F41201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C7:E14</xm:sqref>
        </x14:conditionalFormatting>
        <x14:conditionalFormatting xmlns:xm="http://schemas.microsoft.com/office/excel/2006/main">
          <x14:cfRule type="dataBar" id="{F0ADEE90-1F23-49FD-BDE2-25D7D5B4B06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C30:E31</xm:sqref>
        </x14:conditionalFormatting>
        <x14:conditionalFormatting xmlns:xm="http://schemas.microsoft.com/office/excel/2006/main">
          <x14:cfRule type="dataBar" id="{5F2883F3-ECCB-4801-8F5B-B9B4755F4E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C32:E39</xm:sqref>
        </x14:conditionalFormatting>
        <x14:conditionalFormatting xmlns:xm="http://schemas.microsoft.com/office/excel/2006/main">
          <x14:cfRule type="dataBar" id="{01A07594-F077-4786-981A-BA948FA1EFA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C55:E56</xm:sqref>
        </x14:conditionalFormatting>
        <x14:conditionalFormatting xmlns:xm="http://schemas.microsoft.com/office/excel/2006/main">
          <x14:cfRule type="dataBar" id="{EF307CB2-FEEB-4341-96BE-2BC4D58775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C57:E64</xm:sqref>
        </x14:conditionalFormatting>
        <x14:conditionalFormatting xmlns:xm="http://schemas.microsoft.com/office/excel/2006/main">
          <x14:cfRule type="dataBar" id="{491944D3-CBD9-4492-832F-FE8A3247BA4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D80:D81</xm:sqref>
        </x14:conditionalFormatting>
        <x14:conditionalFormatting xmlns:xm="http://schemas.microsoft.com/office/excel/2006/main">
          <x14:cfRule type="dataBar" id="{13B9FA5C-A05B-44E2-B420-FFE54F29A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D82:D89</xm:sqref>
        </x14:conditionalFormatting>
        <x14:conditionalFormatting xmlns:xm="http://schemas.microsoft.com/office/excel/2006/main">
          <x14:cfRule type="dataBar" id="{B9243F24-16D8-47F4-9AC5-B655411D0EF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E80:E81</xm:sqref>
        </x14:conditionalFormatting>
        <x14:conditionalFormatting xmlns:xm="http://schemas.microsoft.com/office/excel/2006/main">
          <x14:cfRule type="dataBar" id="{5D4B16F0-0F01-4535-9534-46A4FB6F7F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E82:E89</xm:sqref>
        </x14:conditionalFormatting>
        <x14:conditionalFormatting xmlns:xm="http://schemas.microsoft.com/office/excel/2006/main">
          <x14:cfRule type="dataBar" id="{E4FFAFB1-4D77-461D-B3AB-E983EC2E1EA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F5:F14</xm:sqref>
        </x14:conditionalFormatting>
        <x14:conditionalFormatting xmlns:xm="http://schemas.microsoft.com/office/excel/2006/main">
          <x14:cfRule type="dataBar" id="{475B1259-583D-4A9B-9BB0-96EBB7850A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F7:F14</xm:sqref>
        </x14:conditionalFormatting>
        <x14:conditionalFormatting xmlns:xm="http://schemas.microsoft.com/office/excel/2006/main">
          <x14:cfRule type="dataBar" id="{8D271CD9-9855-436A-92C1-D0E47FDE869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F30:F39</xm:sqref>
        </x14:conditionalFormatting>
        <x14:conditionalFormatting xmlns:xm="http://schemas.microsoft.com/office/excel/2006/main">
          <x14:cfRule type="dataBar" id="{FA0811A7-617D-45E0-9A31-2ED9FCAC72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F32:F39</xm:sqref>
        </x14:conditionalFormatting>
        <x14:conditionalFormatting xmlns:xm="http://schemas.microsoft.com/office/excel/2006/main">
          <x14:cfRule type="dataBar" id="{145EFCC2-4510-4546-A6DC-085DE1B1721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F55:F64</xm:sqref>
        </x14:conditionalFormatting>
        <x14:conditionalFormatting xmlns:xm="http://schemas.microsoft.com/office/excel/2006/main">
          <x14:cfRule type="dataBar" id="{8452AB15-26C7-4E62-8F16-A12C97273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F57:F64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F6F53-0007-452E-B6D6-20B8FBEA48A5}">
  <dimension ref="B1:G125"/>
  <sheetViews>
    <sheetView topLeftCell="A48" workbookViewId="0">
      <selection activeCell="D46" sqref="D46"/>
    </sheetView>
  </sheetViews>
  <sheetFormatPr defaultRowHeight="16.5" x14ac:dyDescent="0.3"/>
  <cols>
    <col min="2" max="7" width="15.625" customWidth="1"/>
  </cols>
  <sheetData>
    <row r="1" spans="2:7" ht="17.25" thickBot="1" x14ac:dyDescent="0.35"/>
    <row r="2" spans="2:7" ht="17.25" thickBot="1" x14ac:dyDescent="0.35">
      <c r="B2" s="57"/>
      <c r="C2" s="58"/>
      <c r="D2" s="58"/>
      <c r="E2" s="58"/>
      <c r="F2" s="58"/>
      <c r="G2" s="59"/>
    </row>
    <row r="3" spans="2:7" x14ac:dyDescent="0.3">
      <c r="B3" s="60" t="s">
        <v>35</v>
      </c>
      <c r="C3" s="34">
        <v>46035</v>
      </c>
      <c r="D3" s="34">
        <v>46059</v>
      </c>
      <c r="E3" s="35">
        <v>46064</v>
      </c>
      <c r="F3" s="15" t="s">
        <v>20</v>
      </c>
      <c r="G3" s="16" t="s">
        <v>21</v>
      </c>
    </row>
    <row r="4" spans="2:7" x14ac:dyDescent="0.3">
      <c r="B4" s="61"/>
      <c r="C4" s="6" t="s">
        <v>19</v>
      </c>
      <c r="D4" s="6" t="s">
        <v>19</v>
      </c>
      <c r="E4" s="11" t="s">
        <v>19</v>
      </c>
      <c r="F4" s="17" t="s">
        <v>19</v>
      </c>
      <c r="G4" s="11"/>
    </row>
    <row r="5" spans="2:7" x14ac:dyDescent="0.3">
      <c r="B5" s="2" t="s">
        <v>1</v>
      </c>
      <c r="C5" s="6">
        <v>1.8212277178444785</v>
      </c>
      <c r="D5" s="6">
        <v>1.8895732635951814</v>
      </c>
      <c r="E5" s="11">
        <v>2.6468478449211439</v>
      </c>
      <c r="F5" s="2">
        <f>AVERAGE(C5:E5)</f>
        <v>2.1192162754536015</v>
      </c>
      <c r="G5" s="11">
        <f>_xlfn.STDEV.P(C5:E5)</f>
        <v>0.37413374010735467</v>
      </c>
    </row>
    <row r="6" spans="2:7" x14ac:dyDescent="0.3">
      <c r="B6" s="2" t="s">
        <v>2</v>
      </c>
      <c r="C6" s="6">
        <v>3.8907249136849371</v>
      </c>
      <c r="D6" s="6">
        <v>2.7639487613865912</v>
      </c>
      <c r="E6" s="11">
        <v>3.0911624068035031</v>
      </c>
      <c r="F6" s="2">
        <f t="shared" ref="F6:F17" si="0">AVERAGE(C6:E6)</f>
        <v>3.2486120272916774</v>
      </c>
      <c r="G6" s="11">
        <f t="shared" ref="G6:G17" si="1">_xlfn.STDEV.P(C6:E6)</f>
        <v>0.47328561608607789</v>
      </c>
    </row>
    <row r="7" spans="2:7" x14ac:dyDescent="0.3">
      <c r="B7" s="2" t="s">
        <v>3</v>
      </c>
      <c r="C7" s="6">
        <v>0.16929136720225796</v>
      </c>
      <c r="D7" s="6">
        <v>0.21342683053662423</v>
      </c>
      <c r="E7" s="11">
        <v>0.26160774310305568</v>
      </c>
      <c r="F7" s="2">
        <f t="shared" si="0"/>
        <v>0.21477531361397928</v>
      </c>
      <c r="G7" s="11">
        <f t="shared" si="1"/>
        <v>3.7700062951510648E-2</v>
      </c>
    </row>
    <row r="8" spans="2:7" x14ac:dyDescent="0.3">
      <c r="B8" s="2" t="s">
        <v>4</v>
      </c>
      <c r="C8" s="6">
        <v>0.19920479525965509</v>
      </c>
      <c r="D8" s="6">
        <v>0.30527047671826857</v>
      </c>
      <c r="E8" s="11">
        <v>0.42669331176149194</v>
      </c>
      <c r="F8" s="2">
        <f t="shared" si="0"/>
        <v>0.31038952791313851</v>
      </c>
      <c r="G8" s="11">
        <f t="shared" si="1"/>
        <v>9.2942311135827391E-2</v>
      </c>
    </row>
    <row r="9" spans="2:7" x14ac:dyDescent="0.3">
      <c r="B9" s="2" t="s">
        <v>5</v>
      </c>
      <c r="C9" s="6">
        <v>0.360926447655677</v>
      </c>
      <c r="D9" s="6">
        <v>0.61426971341048775</v>
      </c>
      <c r="E9" s="11">
        <v>0.62267752663044362</v>
      </c>
      <c r="F9" s="2">
        <f t="shared" si="0"/>
        <v>0.53262456256553614</v>
      </c>
      <c r="G9" s="11">
        <f t="shared" si="1"/>
        <v>0.12145741319075518</v>
      </c>
    </row>
    <row r="10" spans="2:7" x14ac:dyDescent="0.3">
      <c r="B10" s="2" t="s">
        <v>6</v>
      </c>
      <c r="C10" s="6">
        <v>0.85685310197510622</v>
      </c>
      <c r="D10" s="6">
        <v>0.99669542161400659</v>
      </c>
      <c r="E10" s="11">
        <v>0.92049693470727445</v>
      </c>
      <c r="F10" s="2">
        <f t="shared" si="0"/>
        <v>0.92468181943212924</v>
      </c>
      <c r="G10" s="11">
        <f t="shared" si="1"/>
        <v>5.7167027417427352E-2</v>
      </c>
    </row>
    <row r="11" spans="2:7" x14ac:dyDescent="0.3">
      <c r="B11" s="2" t="s">
        <v>7</v>
      </c>
      <c r="C11" s="6">
        <v>0.52586323612338837</v>
      </c>
      <c r="D11" s="6">
        <v>0.43015284493311828</v>
      </c>
      <c r="E11" s="11">
        <v>0.49855179895741497</v>
      </c>
      <c r="F11" s="2">
        <f t="shared" si="0"/>
        <v>0.48485596000464054</v>
      </c>
      <c r="G11" s="11">
        <f t="shared" si="1"/>
        <v>4.0255862918038683E-2</v>
      </c>
    </row>
    <row r="12" spans="2:7" x14ac:dyDescent="0.3">
      <c r="B12" s="2" t="s">
        <v>8</v>
      </c>
      <c r="C12" s="6">
        <v>0.14019631769101942</v>
      </c>
      <c r="D12" s="6">
        <v>0.11611664105935469</v>
      </c>
      <c r="E12" s="11">
        <v>0.15600044182744005</v>
      </c>
      <c r="F12" s="2">
        <f t="shared" si="0"/>
        <v>0.13743780019260474</v>
      </c>
      <c r="G12" s="11">
        <f t="shared" si="1"/>
        <v>1.6398911651262622E-2</v>
      </c>
    </row>
    <row r="13" spans="2:7" x14ac:dyDescent="0.3">
      <c r="B13" s="2" t="s">
        <v>9</v>
      </c>
      <c r="C13" s="6">
        <v>2.5409548138966568E-2</v>
      </c>
      <c r="D13" s="6">
        <v>2.3322740594395451E-2</v>
      </c>
      <c r="E13" s="11">
        <v>2.9048345515931176E-2</v>
      </c>
      <c r="F13" s="2">
        <f t="shared" si="0"/>
        <v>2.5926878083097734E-2</v>
      </c>
      <c r="G13" s="11">
        <f t="shared" si="1"/>
        <v>2.3659192199086305E-3</v>
      </c>
    </row>
    <row r="14" spans="2:7" x14ac:dyDescent="0.3">
      <c r="B14" s="2" t="s">
        <v>10</v>
      </c>
      <c r="C14" s="6">
        <v>1.2506655221115723E-2</v>
      </c>
      <c r="D14" s="6">
        <v>1.16814168966974E-2</v>
      </c>
      <c r="E14" s="11">
        <v>2.0719384747093506E-2</v>
      </c>
      <c r="F14" s="2">
        <f t="shared" si="0"/>
        <v>1.496915228830221E-2</v>
      </c>
      <c r="G14" s="11">
        <f t="shared" si="1"/>
        <v>4.0799619745470559E-3</v>
      </c>
    </row>
    <row r="15" spans="2:7" x14ac:dyDescent="0.3">
      <c r="B15" s="2" t="s">
        <v>11</v>
      </c>
      <c r="C15" s="6">
        <v>1.9509889593612098</v>
      </c>
      <c r="D15" s="6">
        <v>2.6079937068795189</v>
      </c>
      <c r="E15" s="11">
        <v>2.0889017213724825</v>
      </c>
      <c r="F15" s="2">
        <f t="shared" si="0"/>
        <v>2.2159614625377371</v>
      </c>
      <c r="G15" s="11">
        <f t="shared" si="1"/>
        <v>0.28286857128842835</v>
      </c>
    </row>
    <row r="16" spans="2:7" x14ac:dyDescent="0.3">
      <c r="B16" s="2" t="s">
        <v>12</v>
      </c>
      <c r="C16" s="6">
        <v>0.53694576788386839</v>
      </c>
      <c r="D16" s="6">
        <v>0.47722719826874549</v>
      </c>
      <c r="E16" s="11">
        <v>0.6634737129059407</v>
      </c>
      <c r="F16" s="2">
        <f t="shared" si="0"/>
        <v>0.55921555968618486</v>
      </c>
      <c r="G16" s="11">
        <f t="shared" si="1"/>
        <v>7.7648347369469461E-2</v>
      </c>
    </row>
    <row r="17" spans="2:7" x14ac:dyDescent="0.3">
      <c r="B17" s="2" t="s">
        <v>13</v>
      </c>
      <c r="C17" s="6">
        <v>3.1973326061711065</v>
      </c>
      <c r="D17" s="6">
        <v>3.363878222633935</v>
      </c>
      <c r="E17" s="11">
        <v>2.6828448268344847</v>
      </c>
      <c r="F17" s="2">
        <f t="shared" si="0"/>
        <v>3.0813518852131754</v>
      </c>
      <c r="G17" s="11">
        <f t="shared" si="1"/>
        <v>0.28987384298918017</v>
      </c>
    </row>
    <row r="18" spans="2:7" x14ac:dyDescent="0.3">
      <c r="B18" s="2"/>
      <c r="C18" s="6"/>
      <c r="D18" s="6"/>
      <c r="E18" s="11"/>
      <c r="F18" s="18"/>
      <c r="G18" s="19"/>
    </row>
    <row r="19" spans="2:7" ht="17.25" thickBot="1" x14ac:dyDescent="0.35">
      <c r="B19" s="4"/>
      <c r="C19" s="31"/>
      <c r="D19" s="31"/>
      <c r="E19" s="33"/>
      <c r="F19" s="4"/>
      <c r="G19" s="33"/>
    </row>
    <row r="20" spans="2:7" x14ac:dyDescent="0.3">
      <c r="B20" s="18" t="s">
        <v>14</v>
      </c>
      <c r="C20" s="27">
        <v>8.0022041007966038</v>
      </c>
      <c r="D20" s="27">
        <v>7.3644581107447262</v>
      </c>
      <c r="E20" s="29">
        <v>8.673805738974794</v>
      </c>
      <c r="F20" s="30">
        <f>AVERAGE(C20:E20)</f>
        <v>8.013489316838708</v>
      </c>
      <c r="G20" s="29">
        <f>_xlfn.STDEV.P(C20:E20)</f>
        <v>0.53459849105895263</v>
      </c>
    </row>
    <row r="21" spans="2:7" x14ac:dyDescent="0.3">
      <c r="B21" s="2" t="s">
        <v>15</v>
      </c>
      <c r="C21" s="7">
        <v>1.9217553068052735</v>
      </c>
      <c r="D21" s="7">
        <v>2.1922387785080604</v>
      </c>
      <c r="E21" s="12">
        <v>2.2474944323855981</v>
      </c>
      <c r="F21" s="20">
        <f>AVERAGE(C21:E21)</f>
        <v>2.1204961725663107</v>
      </c>
      <c r="G21" s="12">
        <f>_xlfn.STDEV.P(C21:E21)</f>
        <v>0.14233000530209949</v>
      </c>
    </row>
    <row r="22" spans="2:7" x14ac:dyDescent="0.3">
      <c r="B22" s="3" t="s">
        <v>16</v>
      </c>
      <c r="C22" s="8">
        <v>24.015324810497731</v>
      </c>
      <c r="D22" s="8">
        <v>29.767821957050572</v>
      </c>
      <c r="E22" s="13">
        <v>25.91128392796173</v>
      </c>
      <c r="F22" s="21">
        <f>AVERAGE(C22:E22)</f>
        <v>26.564810231836677</v>
      </c>
      <c r="G22" s="12">
        <f>_xlfn.STDEV.P(C22:E22)</f>
        <v>2.3934811924150678</v>
      </c>
    </row>
    <row r="23" spans="2:7" x14ac:dyDescent="0.3">
      <c r="B23" s="2" t="s">
        <v>17</v>
      </c>
      <c r="C23" s="7">
        <v>9.9531930601578136</v>
      </c>
      <c r="D23" s="7">
        <v>9.9724518176242452</v>
      </c>
      <c r="E23" s="12">
        <v>10.762707460347276</v>
      </c>
      <c r="F23" s="20">
        <f>AVERAGE(C23:E23)</f>
        <v>10.229450779376444</v>
      </c>
      <c r="G23" s="12">
        <f>_xlfn.STDEV.P(C23:E23)</f>
        <v>0.37715137613855398</v>
      </c>
    </row>
    <row r="24" spans="2:7" x14ac:dyDescent="0.3">
      <c r="B24" s="2"/>
      <c r="C24" s="7"/>
      <c r="D24" s="7"/>
      <c r="E24" s="12"/>
      <c r="F24" s="20"/>
      <c r="G24" s="12"/>
    </row>
    <row r="25" spans="2:7" ht="17.25" thickBot="1" x14ac:dyDescent="0.35">
      <c r="B25" s="4" t="s">
        <v>18</v>
      </c>
      <c r="C25" s="9">
        <v>13.687471434212789</v>
      </c>
      <c r="D25" s="9">
        <v>13.813557238526926</v>
      </c>
      <c r="E25" s="14">
        <v>14.109026000087701</v>
      </c>
      <c r="F25" s="22">
        <f>AVERAGE(C25:E25)</f>
        <v>13.870018224275805</v>
      </c>
      <c r="G25" s="14">
        <f>_xlfn.STDEV.P(C25:E25)</f>
        <v>0.17666907895138811</v>
      </c>
    </row>
    <row r="26" spans="2:7" ht="17.25" thickBot="1" x14ac:dyDescent="0.35"/>
    <row r="27" spans="2:7" ht="17.25" thickBot="1" x14ac:dyDescent="0.35">
      <c r="B27" s="57"/>
      <c r="C27" s="58"/>
      <c r="D27" s="58"/>
      <c r="E27" s="58"/>
      <c r="F27" s="58"/>
      <c r="G27" s="59"/>
    </row>
    <row r="28" spans="2:7" x14ac:dyDescent="0.3">
      <c r="B28" s="60" t="s">
        <v>36</v>
      </c>
      <c r="C28" s="36">
        <v>46100</v>
      </c>
      <c r="D28" s="36">
        <v>46101</v>
      </c>
      <c r="E28" s="36"/>
      <c r="F28" s="15" t="s">
        <v>20</v>
      </c>
      <c r="G28" s="16" t="s">
        <v>21</v>
      </c>
    </row>
    <row r="29" spans="2:7" x14ac:dyDescent="0.3">
      <c r="B29" s="61"/>
      <c r="C29" s="23" t="s">
        <v>19</v>
      </c>
      <c r="D29" s="23" t="s">
        <v>19</v>
      </c>
      <c r="E29" s="24" t="s">
        <v>19</v>
      </c>
      <c r="F29" s="17" t="s">
        <v>19</v>
      </c>
      <c r="G29" s="11"/>
    </row>
    <row r="30" spans="2:7" x14ac:dyDescent="0.3">
      <c r="B30" s="2" t="s">
        <v>1</v>
      </c>
      <c r="C30" s="6">
        <v>3.0456571885285553</v>
      </c>
      <c r="D30" s="6">
        <v>2.1194183939201823</v>
      </c>
      <c r="E30" s="11"/>
      <c r="F30" s="2">
        <f>AVERAGE(C30:E30)</f>
        <v>2.582537791224369</v>
      </c>
      <c r="G30" s="11">
        <f>_xlfn.STDEV.P(C30:E30)</f>
        <v>0.46311939730418461</v>
      </c>
    </row>
    <row r="31" spans="2:7" x14ac:dyDescent="0.3">
      <c r="B31" s="2" t="s">
        <v>2</v>
      </c>
      <c r="C31" s="6">
        <v>2.7164889130119754</v>
      </c>
      <c r="D31" s="6">
        <v>1.9472364588671645</v>
      </c>
      <c r="E31" s="11"/>
      <c r="F31" s="2">
        <f t="shared" ref="F31:F42" si="2">AVERAGE(C31:E31)</f>
        <v>2.3318626859395701</v>
      </c>
      <c r="G31" s="11">
        <f t="shared" ref="G31:G42" si="3">_xlfn.STDEV.P(C31:E31)</f>
        <v>0.38462622707240351</v>
      </c>
    </row>
    <row r="32" spans="2:7" x14ac:dyDescent="0.3">
      <c r="B32" s="2" t="s">
        <v>3</v>
      </c>
      <c r="C32" s="6">
        <v>0.28125439303098099</v>
      </c>
      <c r="D32" s="6">
        <v>0.21806285067866166</v>
      </c>
      <c r="E32" s="11"/>
      <c r="F32" s="2">
        <f t="shared" si="2"/>
        <v>0.24965862185482132</v>
      </c>
      <c r="G32" s="11">
        <f t="shared" si="3"/>
        <v>3.1595771176159637E-2</v>
      </c>
    </row>
    <row r="33" spans="2:7" x14ac:dyDescent="0.3">
      <c r="B33" s="2" t="s">
        <v>4</v>
      </c>
      <c r="C33" s="6">
        <v>0.39903377584770633</v>
      </c>
      <c r="D33" s="6">
        <v>0.48601005936539105</v>
      </c>
      <c r="E33" s="11"/>
      <c r="F33" s="2">
        <f t="shared" si="2"/>
        <v>0.44252191760654869</v>
      </c>
      <c r="G33" s="11">
        <f t="shared" si="3"/>
        <v>4.3488141758842358E-2</v>
      </c>
    </row>
    <row r="34" spans="2:7" x14ac:dyDescent="0.3">
      <c r="B34" s="2" t="s">
        <v>5</v>
      </c>
      <c r="C34" s="6">
        <v>0.63570554050379702</v>
      </c>
      <c r="D34" s="6">
        <v>0.85212331986389644</v>
      </c>
      <c r="E34" s="11"/>
      <c r="F34" s="2">
        <f t="shared" si="2"/>
        <v>0.74391443018384673</v>
      </c>
      <c r="G34" s="11">
        <f t="shared" si="3"/>
        <v>0.10820888968005002</v>
      </c>
    </row>
    <row r="35" spans="2:7" x14ac:dyDescent="0.3">
      <c r="B35" s="2" t="s">
        <v>6</v>
      </c>
      <c r="C35" s="6">
        <v>1.0686121469273999</v>
      </c>
      <c r="D35" s="6">
        <v>1.1041973166474466</v>
      </c>
      <c r="E35" s="11"/>
      <c r="F35" s="2">
        <f t="shared" si="2"/>
        <v>1.0864047317874233</v>
      </c>
      <c r="G35" s="11">
        <f t="shared" si="3"/>
        <v>1.7792584860023331E-2</v>
      </c>
    </row>
    <row r="36" spans="2:7" x14ac:dyDescent="0.3">
      <c r="B36" s="2" t="s">
        <v>7</v>
      </c>
      <c r="C36" s="6">
        <v>0.54396269106392825</v>
      </c>
      <c r="D36" s="6">
        <v>0.50213802803363417</v>
      </c>
      <c r="E36" s="11"/>
      <c r="F36" s="2">
        <f t="shared" si="2"/>
        <v>0.52305035954878121</v>
      </c>
      <c r="G36" s="11">
        <f t="shared" si="3"/>
        <v>2.0912331515147042E-2</v>
      </c>
    </row>
    <row r="37" spans="2:7" x14ac:dyDescent="0.3">
      <c r="B37" s="2" t="s">
        <v>8</v>
      </c>
      <c r="C37" s="6">
        <v>0.15339645600050203</v>
      </c>
      <c r="D37" s="6">
        <v>0.11570050451084399</v>
      </c>
      <c r="E37" s="11"/>
      <c r="F37" s="2">
        <f t="shared" si="2"/>
        <v>0.13454848025567301</v>
      </c>
      <c r="G37" s="11">
        <f t="shared" si="3"/>
        <v>1.8847975744829007E-2</v>
      </c>
    </row>
    <row r="38" spans="2:7" x14ac:dyDescent="0.3">
      <c r="B38" s="2" t="s">
        <v>9</v>
      </c>
      <c r="C38" s="6">
        <v>2.8377767192174656E-2</v>
      </c>
      <c r="D38" s="6">
        <v>5.8292350212237949E-2</v>
      </c>
      <c r="E38" s="11"/>
      <c r="F38" s="2">
        <f t="shared" si="2"/>
        <v>4.3335058702206303E-2</v>
      </c>
      <c r="G38" s="11">
        <f t="shared" si="3"/>
        <v>1.4957291510031652E-2</v>
      </c>
    </row>
    <row r="39" spans="2:7" x14ac:dyDescent="0.3">
      <c r="B39" s="2" t="s">
        <v>10</v>
      </c>
      <c r="C39" s="6">
        <v>1.5470499415739802E-2</v>
      </c>
      <c r="D39" s="6">
        <v>2.1266277068962995E-2</v>
      </c>
      <c r="E39" s="11"/>
      <c r="F39" s="2">
        <f t="shared" si="2"/>
        <v>1.8368388242351399E-2</v>
      </c>
      <c r="G39" s="11">
        <f t="shared" si="3"/>
        <v>2.8978888266115964E-3</v>
      </c>
    </row>
    <row r="40" spans="2:7" x14ac:dyDescent="0.3">
      <c r="B40" s="2" t="s">
        <v>11</v>
      </c>
      <c r="C40" s="6">
        <v>2.0477255523798128</v>
      </c>
      <c r="D40" s="6">
        <v>2.5193448274279975</v>
      </c>
      <c r="E40" s="11"/>
      <c r="F40" s="2">
        <f t="shared" si="2"/>
        <v>2.2835351899039051</v>
      </c>
      <c r="G40" s="11">
        <f t="shared" si="3"/>
        <v>0.23580963752409173</v>
      </c>
    </row>
    <row r="41" spans="2:7" x14ac:dyDescent="0.3">
      <c r="B41" s="2" t="s">
        <v>12</v>
      </c>
      <c r="C41" s="6">
        <v>0.41125926566240967</v>
      </c>
      <c r="D41" s="6">
        <v>0.28599078992836985</v>
      </c>
      <c r="E41" s="11"/>
      <c r="F41" s="2">
        <f t="shared" si="2"/>
        <v>0.34862502779538973</v>
      </c>
      <c r="G41" s="11">
        <f t="shared" si="3"/>
        <v>6.2634237867020146E-2</v>
      </c>
    </row>
    <row r="42" spans="2:7" x14ac:dyDescent="0.3">
      <c r="B42" s="2" t="s">
        <v>13</v>
      </c>
      <c r="C42" s="6">
        <v>2.6605281482144374</v>
      </c>
      <c r="D42" s="6">
        <v>3.6638060675561763</v>
      </c>
      <c r="E42" s="11"/>
      <c r="F42" s="2">
        <f t="shared" si="2"/>
        <v>3.1621671078853071</v>
      </c>
      <c r="G42" s="11">
        <f t="shared" si="3"/>
        <v>0.50163895967086813</v>
      </c>
    </row>
    <row r="43" spans="2:7" x14ac:dyDescent="0.3">
      <c r="B43" s="2"/>
      <c r="C43" s="6"/>
      <c r="D43" s="6"/>
      <c r="E43" s="11"/>
      <c r="F43" s="18"/>
      <c r="G43" s="19"/>
    </row>
    <row r="44" spans="2:7" ht="17.25" thickBot="1" x14ac:dyDescent="0.35">
      <c r="B44" s="4"/>
      <c r="C44" s="31"/>
      <c r="D44" s="32"/>
      <c r="E44" s="33"/>
      <c r="F44" s="4"/>
      <c r="G44" s="33"/>
    </row>
    <row r="45" spans="2:7" x14ac:dyDescent="0.3">
      <c r="B45" s="18" t="s">
        <v>14</v>
      </c>
      <c r="C45" s="27">
        <v>8.8879593715227596</v>
      </c>
      <c r="D45" s="28">
        <v>7.4244455591684213</v>
      </c>
      <c r="E45" s="29"/>
      <c r="F45" s="30">
        <f>AVERAGE(C45:E45)</f>
        <v>8.15620246534559</v>
      </c>
      <c r="G45" s="29">
        <f>_xlfn.STDEV.P(C45:E45)</f>
        <v>0.73175690617716915</v>
      </c>
    </row>
    <row r="46" spans="2:7" x14ac:dyDescent="0.3">
      <c r="B46" s="2" t="s">
        <v>15</v>
      </c>
      <c r="C46" s="7">
        <v>2.4455251011035419</v>
      </c>
      <c r="D46" s="25">
        <v>2.6537177963370224</v>
      </c>
      <c r="E46" s="12"/>
      <c r="F46" s="20">
        <f>AVERAGE(C46:E46)</f>
        <v>2.5496214487202824</v>
      </c>
      <c r="G46" s="12">
        <f>_xlfn.STDEV.P(C46:E46)</f>
        <v>0.10409634761674025</v>
      </c>
    </row>
    <row r="47" spans="2:7" x14ac:dyDescent="0.3">
      <c r="B47" s="3" t="s">
        <v>16</v>
      </c>
      <c r="C47" s="8">
        <v>27.515034653950654</v>
      </c>
      <c r="D47" s="26">
        <v>35.74297602680857</v>
      </c>
      <c r="E47" s="13"/>
      <c r="F47" s="21">
        <f>AVERAGE(C47:E47)</f>
        <v>31.629005340379614</v>
      </c>
      <c r="G47" s="12">
        <f>_xlfn.STDEV.P(C47:E47)</f>
        <v>4.1139706864289387</v>
      </c>
    </row>
    <row r="48" spans="2:7" x14ac:dyDescent="0.3">
      <c r="B48" s="2" t="s">
        <v>17</v>
      </c>
      <c r="C48" s="7">
        <v>10.935684923902572</v>
      </c>
      <c r="D48" s="25">
        <v>9.9437903865964188</v>
      </c>
      <c r="E48" s="12"/>
      <c r="F48" s="20">
        <f>AVERAGE(C48:E48)</f>
        <v>10.439737655249495</v>
      </c>
      <c r="G48" s="12">
        <f>_xlfn.STDEV.P(C48:E48)</f>
        <v>0.49594726865307681</v>
      </c>
    </row>
    <row r="49" spans="2:7" x14ac:dyDescent="0.3">
      <c r="B49" s="2"/>
      <c r="C49" s="7"/>
      <c r="D49" s="25"/>
      <c r="E49" s="12"/>
      <c r="F49" s="20"/>
      <c r="G49" s="12"/>
    </row>
    <row r="50" spans="2:7" ht="17.25" thickBot="1" x14ac:dyDescent="0.35">
      <c r="B50" s="4" t="s">
        <v>18</v>
      </c>
      <c r="C50" s="9">
        <v>14.00747233777942</v>
      </c>
      <c r="D50" s="9">
        <v>13.893587244080965</v>
      </c>
      <c r="E50" s="14">
        <v>14.256381036880267</v>
      </c>
      <c r="F50" s="22">
        <f>AVERAGE(C50:E50)</f>
        <v>14.052480206246884</v>
      </c>
      <c r="G50" s="14">
        <f>_xlfn.STDEV.P(C50:E50)</f>
        <v>0.15149062719392697</v>
      </c>
    </row>
    <row r="51" spans="2:7" ht="17.25" thickBot="1" x14ac:dyDescent="0.35"/>
    <row r="52" spans="2:7" ht="17.25" thickBot="1" x14ac:dyDescent="0.35">
      <c r="B52" s="57"/>
      <c r="C52" s="58"/>
      <c r="D52" s="58"/>
      <c r="E52" s="58"/>
      <c r="F52" s="58"/>
      <c r="G52" s="59"/>
    </row>
    <row r="53" spans="2:7" ht="16.5" customHeight="1" x14ac:dyDescent="0.3">
      <c r="B53" s="62" t="s">
        <v>38</v>
      </c>
      <c r="C53" s="34">
        <v>46064</v>
      </c>
      <c r="D53" s="34">
        <v>46080</v>
      </c>
      <c r="E53" s="35">
        <v>46081</v>
      </c>
      <c r="F53" s="15" t="s">
        <v>20</v>
      </c>
      <c r="G53" s="16" t="s">
        <v>21</v>
      </c>
    </row>
    <row r="54" spans="2:7" x14ac:dyDescent="0.3">
      <c r="B54" s="60"/>
      <c r="C54" s="6" t="s">
        <v>19</v>
      </c>
      <c r="D54" s="6" t="s">
        <v>19</v>
      </c>
      <c r="E54" s="11" t="s">
        <v>19</v>
      </c>
      <c r="F54" s="17" t="s">
        <v>19</v>
      </c>
      <c r="G54" s="11"/>
    </row>
    <row r="55" spans="2:7" x14ac:dyDescent="0.3">
      <c r="B55" s="2" t="s">
        <v>1</v>
      </c>
      <c r="C55" s="6">
        <v>1.3967148900944937</v>
      </c>
      <c r="D55" s="6">
        <v>1.8171968981395181</v>
      </c>
      <c r="E55" s="11">
        <v>2.204427636021892</v>
      </c>
      <c r="F55" s="2">
        <f>AVERAGE(C55:E55)</f>
        <v>1.8061131414186347</v>
      </c>
      <c r="G55" s="11">
        <f>_xlfn.STDEV.P(C55:E55)</f>
        <v>0.32984047379572234</v>
      </c>
    </row>
    <row r="56" spans="2:7" x14ac:dyDescent="0.3">
      <c r="B56" s="2" t="s">
        <v>2</v>
      </c>
      <c r="C56" s="6">
        <v>2.7383972948300945</v>
      </c>
      <c r="D56" s="6">
        <v>3.9779890453980151</v>
      </c>
      <c r="E56" s="11">
        <v>3.1628673714619961</v>
      </c>
      <c r="F56" s="2">
        <f t="shared" ref="F56:F67" si="4">AVERAGE(C56:E56)</f>
        <v>3.2930845705633689</v>
      </c>
      <c r="G56" s="11">
        <f t="shared" ref="G56:G67" si="5">_xlfn.STDEV.P(C56:E56)</f>
        <v>0.51436972190916241</v>
      </c>
    </row>
    <row r="57" spans="2:7" x14ac:dyDescent="0.3">
      <c r="B57" s="2" t="s">
        <v>3</v>
      </c>
      <c r="C57" s="6">
        <v>0.22323974333715693</v>
      </c>
      <c r="D57" s="6">
        <v>0.3232656350301657</v>
      </c>
      <c r="E57" s="11">
        <v>0.27191263500051144</v>
      </c>
      <c r="F57" s="2">
        <f t="shared" si="4"/>
        <v>0.27280600445594466</v>
      </c>
      <c r="G57" s="11">
        <f t="shared" si="5"/>
        <v>4.0840285127827058E-2</v>
      </c>
    </row>
    <row r="58" spans="2:7" x14ac:dyDescent="0.3">
      <c r="B58" s="2" t="s">
        <v>4</v>
      </c>
      <c r="C58" s="6">
        <v>0.32255438802101233</v>
      </c>
      <c r="D58" s="6">
        <v>0.45780695602225979</v>
      </c>
      <c r="E58" s="11">
        <v>0.40922964626924863</v>
      </c>
      <c r="F58" s="2">
        <f t="shared" si="4"/>
        <v>0.3965303301041736</v>
      </c>
      <c r="G58" s="11">
        <f t="shared" si="5"/>
        <v>5.5942045970381458E-2</v>
      </c>
    </row>
    <row r="59" spans="2:7" x14ac:dyDescent="0.3">
      <c r="B59" s="2" t="s">
        <v>5</v>
      </c>
      <c r="C59" s="6">
        <v>0.68735855083570818</v>
      </c>
      <c r="D59" s="6">
        <v>0.69640519840553483</v>
      </c>
      <c r="E59" s="11">
        <v>0.63912370501265303</v>
      </c>
      <c r="F59" s="2">
        <f t="shared" si="4"/>
        <v>0.6742958180846319</v>
      </c>
      <c r="G59" s="11">
        <f t="shared" si="5"/>
        <v>2.5143171525276585E-2</v>
      </c>
    </row>
    <row r="60" spans="2:7" x14ac:dyDescent="0.3">
      <c r="B60" s="2" t="s">
        <v>6</v>
      </c>
      <c r="C60" s="6">
        <v>1.4135714962197494</v>
      </c>
      <c r="D60" s="6">
        <v>1.1534131457605106</v>
      </c>
      <c r="E60" s="11">
        <v>1.0372955092283342</v>
      </c>
      <c r="F60" s="2">
        <f t="shared" si="4"/>
        <v>1.2014267170695314</v>
      </c>
      <c r="G60" s="11">
        <f t="shared" si="5"/>
        <v>0.15732107692862932</v>
      </c>
    </row>
    <row r="61" spans="2:7" x14ac:dyDescent="0.3">
      <c r="B61" s="2" t="s">
        <v>7</v>
      </c>
      <c r="C61" s="6">
        <v>0.74598582072676778</v>
      </c>
      <c r="D61" s="6">
        <v>0.58351064268823649</v>
      </c>
      <c r="E61" s="11">
        <v>0.49081995388699118</v>
      </c>
      <c r="F61" s="2">
        <f t="shared" si="4"/>
        <v>0.60677213910066519</v>
      </c>
      <c r="G61" s="11">
        <f t="shared" si="5"/>
        <v>0.10546161327400183</v>
      </c>
    </row>
    <row r="62" spans="2:7" x14ac:dyDescent="0.3">
      <c r="B62" s="2" t="s">
        <v>8</v>
      </c>
      <c r="C62" s="6">
        <v>0.20004763801501543</v>
      </c>
      <c r="D62" s="6">
        <v>0.17405779312896744</v>
      </c>
      <c r="E62" s="11">
        <v>0.15402374072371122</v>
      </c>
      <c r="F62" s="2">
        <f t="shared" si="4"/>
        <v>0.17604305728923139</v>
      </c>
      <c r="G62" s="11">
        <f t="shared" si="5"/>
        <v>1.8841545156199076E-2</v>
      </c>
    </row>
    <row r="63" spans="2:7" x14ac:dyDescent="0.3">
      <c r="B63" s="2" t="s">
        <v>9</v>
      </c>
      <c r="C63" s="6">
        <v>3.1295412880151627E-2</v>
      </c>
      <c r="D63" s="6">
        <v>3.0441125494735502E-2</v>
      </c>
      <c r="E63" s="11">
        <v>3.8190504998363982E-2</v>
      </c>
      <c r="F63" s="2">
        <f t="shared" si="4"/>
        <v>3.330901445775037E-2</v>
      </c>
      <c r="G63" s="11">
        <f t="shared" si="5"/>
        <v>3.4693096486952948E-3</v>
      </c>
    </row>
    <row r="64" spans="2:7" x14ac:dyDescent="0.3">
      <c r="B64" s="2" t="s">
        <v>10</v>
      </c>
      <c r="C64" s="6">
        <v>1.6153467339006231E-2</v>
      </c>
      <c r="D64" s="6">
        <v>1.9115981576620776E-2</v>
      </c>
      <c r="E64" s="11">
        <v>1.3508042851560485E-2</v>
      </c>
      <c r="F64" s="2">
        <f t="shared" si="4"/>
        <v>1.625916392239583E-2</v>
      </c>
      <c r="G64" s="11">
        <f t="shared" si="5"/>
        <v>2.2906510008893232E-3</v>
      </c>
    </row>
    <row r="65" spans="2:7" x14ac:dyDescent="0.3">
      <c r="B65" s="2" t="s">
        <v>11</v>
      </c>
      <c r="C65" s="6">
        <v>2.4411425852920527</v>
      </c>
      <c r="D65" s="6">
        <v>1.6254306729353138</v>
      </c>
      <c r="E65" s="11">
        <v>1.8241416146636364</v>
      </c>
      <c r="F65" s="2">
        <f t="shared" si="4"/>
        <v>1.9635716242970009</v>
      </c>
      <c r="G65" s="11">
        <f t="shared" si="5"/>
        <v>0.34730104777646181</v>
      </c>
    </row>
    <row r="66" spans="2:7" x14ac:dyDescent="0.3">
      <c r="B66" s="2" t="s">
        <v>12</v>
      </c>
      <c r="C66" s="6">
        <v>0.54831291044438968</v>
      </c>
      <c r="D66" s="6">
        <v>0.73062621722135079</v>
      </c>
      <c r="E66" s="11">
        <v>0.63124727961574512</v>
      </c>
      <c r="F66" s="2">
        <f t="shared" si="4"/>
        <v>0.6367288024271619</v>
      </c>
      <c r="G66" s="11">
        <f t="shared" si="5"/>
        <v>7.4529952709125186E-2</v>
      </c>
    </row>
    <row r="67" spans="2:7" x14ac:dyDescent="0.3">
      <c r="B67" s="2" t="s">
        <v>13</v>
      </c>
      <c r="C67" s="6">
        <v>3.4552362595127546</v>
      </c>
      <c r="D67" s="6">
        <v>2.4828100528986412</v>
      </c>
      <c r="E67" s="11">
        <v>3.3124958935523328</v>
      </c>
      <c r="F67" s="2">
        <f t="shared" si="4"/>
        <v>3.0835140686545763</v>
      </c>
      <c r="G67" s="11">
        <f t="shared" si="5"/>
        <v>0.42874055008253148</v>
      </c>
    </row>
    <row r="68" spans="2:7" x14ac:dyDescent="0.3">
      <c r="B68" s="2"/>
      <c r="C68" s="6"/>
      <c r="D68" s="6"/>
      <c r="E68" s="11"/>
      <c r="F68" s="18"/>
      <c r="G68" s="19"/>
    </row>
    <row r="69" spans="2:7" ht="17.25" thickBot="1" x14ac:dyDescent="0.35">
      <c r="B69" s="4"/>
      <c r="C69" s="31"/>
      <c r="D69" s="31"/>
      <c r="E69" s="33"/>
      <c r="F69" s="4"/>
      <c r="G69" s="33"/>
    </row>
    <row r="70" spans="2:7" x14ac:dyDescent="0.3">
      <c r="B70" s="18" t="s">
        <v>14</v>
      </c>
      <c r="C70" s="27">
        <v>7.7753187022991552</v>
      </c>
      <c r="D70" s="27">
        <v>9.2332024216445667</v>
      </c>
      <c r="E70" s="29">
        <v>8.4213987454552601</v>
      </c>
      <c r="F70" s="30">
        <f>AVERAGE(C70:E70)</f>
        <v>8.4766399564663271</v>
      </c>
      <c r="G70" s="29">
        <f>_xlfn.STDEV.P(C70:E70)</f>
        <v>0.59645895546331307</v>
      </c>
    </row>
    <row r="71" spans="2:7" x14ac:dyDescent="0.3">
      <c r="B71" s="2" t="s">
        <v>15</v>
      </c>
      <c r="C71" s="7">
        <v>3.094412386016399</v>
      </c>
      <c r="D71" s="7">
        <v>2.6569438870546054</v>
      </c>
      <c r="E71" s="12">
        <v>2.3729614567016144</v>
      </c>
      <c r="F71" s="20">
        <f>AVERAGE(C71:E71)</f>
        <v>2.7081059099242064</v>
      </c>
      <c r="G71" s="12">
        <f>_xlfn.STDEV.P(C71:E71)</f>
        <v>0.2967445874714198</v>
      </c>
    </row>
    <row r="72" spans="2:7" x14ac:dyDescent="0.3">
      <c r="B72" s="3" t="s">
        <v>16</v>
      </c>
      <c r="C72" s="8">
        <v>39.797884877714196</v>
      </c>
      <c r="D72" s="8">
        <v>28.775973554161126</v>
      </c>
      <c r="E72" s="13">
        <v>28.177759163609494</v>
      </c>
      <c r="F72" s="21">
        <f>AVERAGE(C72:E72)</f>
        <v>32.250539198494941</v>
      </c>
      <c r="G72" s="12">
        <f>_xlfn.STDEV.P(C72:E72)</f>
        <v>5.3423643464598376</v>
      </c>
    </row>
    <row r="73" spans="2:7" x14ac:dyDescent="0.3">
      <c r="B73" s="2" t="s">
        <v>17</v>
      </c>
      <c r="C73" s="7">
        <v>10.216461287591208</v>
      </c>
      <c r="D73" s="7">
        <v>10.858633094579881</v>
      </c>
      <c r="E73" s="12">
        <v>10.245540360118897</v>
      </c>
      <c r="F73" s="20">
        <f>AVERAGE(C73:E73)</f>
        <v>10.440211580763327</v>
      </c>
      <c r="G73" s="12">
        <f>_xlfn.STDEV.P(C73:E73)</f>
        <v>0.29610676062660135</v>
      </c>
    </row>
    <row r="74" spans="2:7" x14ac:dyDescent="0.3">
      <c r="B74" s="2"/>
      <c r="C74" s="7"/>
      <c r="D74" s="7"/>
      <c r="E74" s="12"/>
      <c r="F74" s="20"/>
      <c r="G74" s="12"/>
    </row>
    <row r="75" spans="2:7" ht="17.25" thickBot="1" x14ac:dyDescent="0.35">
      <c r="B75" s="4" t="s">
        <v>18</v>
      </c>
      <c r="C75" s="9">
        <v>14.220010457548351</v>
      </c>
      <c r="D75" s="9">
        <v>14.072069364699873</v>
      </c>
      <c r="E75" s="14">
        <v>14.189283533286975</v>
      </c>
      <c r="F75" s="22">
        <f>AVERAGE(C75:E75)</f>
        <v>14.160454451845068</v>
      </c>
      <c r="G75" s="14">
        <f>_xlfn.STDEV.P(C75:E75)</f>
        <v>6.3744169358923533E-2</v>
      </c>
    </row>
    <row r="77" spans="2:7" ht="17.25" thickBot="1" x14ac:dyDescent="0.35"/>
    <row r="78" spans="2:7" x14ac:dyDescent="0.3">
      <c r="B78" s="55" t="s">
        <v>33</v>
      </c>
      <c r="C78" s="34" t="s">
        <v>28</v>
      </c>
      <c r="D78" s="34" t="s">
        <v>30</v>
      </c>
      <c r="E78" s="34" t="s">
        <v>32</v>
      </c>
    </row>
    <row r="79" spans="2:7" ht="17.25" thickBot="1" x14ac:dyDescent="0.35">
      <c r="B79" s="56"/>
      <c r="C79" s="31" t="s">
        <v>19</v>
      </c>
      <c r="D79" s="31" t="s">
        <v>19</v>
      </c>
      <c r="E79" s="31" t="s">
        <v>19</v>
      </c>
    </row>
    <row r="80" spans="2:7" x14ac:dyDescent="0.3">
      <c r="B80" s="18" t="s">
        <v>1</v>
      </c>
      <c r="C80" s="46"/>
      <c r="D80" s="46"/>
      <c r="E80" s="46"/>
    </row>
    <row r="81" spans="2:5" x14ac:dyDescent="0.3">
      <c r="B81" s="2" t="s">
        <v>2</v>
      </c>
      <c r="C81" s="6"/>
      <c r="D81" s="6"/>
      <c r="E81" s="6"/>
    </row>
    <row r="82" spans="2:5" x14ac:dyDescent="0.3">
      <c r="B82" s="2" t="s">
        <v>3</v>
      </c>
      <c r="C82" s="6"/>
      <c r="D82" s="6"/>
      <c r="E82" s="6"/>
    </row>
    <row r="83" spans="2:5" x14ac:dyDescent="0.3">
      <c r="B83" s="2" t="s">
        <v>4</v>
      </c>
      <c r="C83" s="6"/>
      <c r="D83" s="6"/>
      <c r="E83" s="6"/>
    </row>
    <row r="84" spans="2:5" x14ac:dyDescent="0.3">
      <c r="B84" s="2" t="s">
        <v>5</v>
      </c>
      <c r="C84" s="6"/>
      <c r="D84" s="6"/>
      <c r="E84" s="6"/>
    </row>
    <row r="85" spans="2:5" x14ac:dyDescent="0.3">
      <c r="B85" s="2" t="s">
        <v>6</v>
      </c>
      <c r="C85" s="6"/>
      <c r="D85" s="6"/>
      <c r="E85" s="6"/>
    </row>
    <row r="86" spans="2:5" x14ac:dyDescent="0.3">
      <c r="B86" s="2" t="s">
        <v>7</v>
      </c>
      <c r="C86" s="6"/>
      <c r="D86" s="6"/>
      <c r="E86" s="6"/>
    </row>
    <row r="87" spans="2:5" x14ac:dyDescent="0.3">
      <c r="B87" s="2" t="s">
        <v>8</v>
      </c>
      <c r="C87" s="6"/>
      <c r="D87" s="6"/>
      <c r="E87" s="6"/>
    </row>
    <row r="88" spans="2:5" x14ac:dyDescent="0.3">
      <c r="B88" s="2" t="s">
        <v>9</v>
      </c>
      <c r="C88" s="6"/>
      <c r="D88" s="6"/>
      <c r="E88" s="6"/>
    </row>
    <row r="89" spans="2:5" x14ac:dyDescent="0.3">
      <c r="B89" s="2" t="s">
        <v>10</v>
      </c>
      <c r="C89" s="6"/>
      <c r="D89" s="6"/>
      <c r="E89" s="6"/>
    </row>
    <row r="90" spans="2:5" x14ac:dyDescent="0.3">
      <c r="B90" s="2" t="s">
        <v>11</v>
      </c>
      <c r="C90" s="6"/>
      <c r="D90" s="6"/>
      <c r="E90" s="6"/>
    </row>
    <row r="91" spans="2:5" x14ac:dyDescent="0.3">
      <c r="B91" s="2" t="s">
        <v>12</v>
      </c>
      <c r="C91" s="6"/>
      <c r="D91" s="6"/>
      <c r="E91" s="6"/>
    </row>
    <row r="92" spans="2:5" ht="17.25" thickBot="1" x14ac:dyDescent="0.35">
      <c r="B92" s="4" t="s">
        <v>13</v>
      </c>
      <c r="C92" s="31"/>
      <c r="D92" s="31"/>
      <c r="E92" s="31"/>
    </row>
    <row r="93" spans="2:5" ht="17.25" thickBot="1" x14ac:dyDescent="0.35">
      <c r="B93" s="47"/>
      <c r="C93" s="48"/>
      <c r="D93" s="48"/>
      <c r="E93" s="48"/>
    </row>
    <row r="94" spans="2:5" ht="17.25" thickBot="1" x14ac:dyDescent="0.35">
      <c r="B94" s="50"/>
      <c r="C94" s="51" t="s">
        <v>27</v>
      </c>
      <c r="D94" s="51" t="s">
        <v>29</v>
      </c>
      <c r="E94" s="51" t="s">
        <v>31</v>
      </c>
    </row>
    <row r="95" spans="2:5" x14ac:dyDescent="0.3">
      <c r="B95" s="18" t="s">
        <v>14</v>
      </c>
      <c r="C95" s="27"/>
      <c r="D95" s="27"/>
      <c r="E95" s="27"/>
    </row>
    <row r="96" spans="2:5" x14ac:dyDescent="0.3">
      <c r="B96" s="2" t="s">
        <v>15</v>
      </c>
      <c r="C96" s="7"/>
      <c r="D96" s="7"/>
      <c r="E96" s="7"/>
    </row>
    <row r="97" spans="2:5" x14ac:dyDescent="0.3">
      <c r="B97" s="3" t="s">
        <v>16</v>
      </c>
      <c r="C97" s="8"/>
      <c r="D97" s="8"/>
      <c r="E97" s="8"/>
    </row>
    <row r="98" spans="2:5" x14ac:dyDescent="0.3">
      <c r="B98" s="2" t="s">
        <v>17</v>
      </c>
      <c r="C98" s="7"/>
      <c r="D98" s="7"/>
      <c r="E98" s="7"/>
    </row>
    <row r="99" spans="2:5" x14ac:dyDescent="0.3">
      <c r="B99" s="2"/>
      <c r="C99" s="7"/>
      <c r="D99" s="7"/>
      <c r="E99" s="7"/>
    </row>
    <row r="100" spans="2:5" ht="17.25" thickBot="1" x14ac:dyDescent="0.35">
      <c r="B100" s="4" t="s">
        <v>18</v>
      </c>
      <c r="C100" s="9">
        <v>13.980135071448364</v>
      </c>
      <c r="D100" s="9">
        <v>14.047057166545017</v>
      </c>
      <c r="E100" s="9">
        <v>13.663815786374519</v>
      </c>
    </row>
    <row r="102" spans="2:5" ht="17.25" thickBot="1" x14ac:dyDescent="0.35"/>
    <row r="103" spans="2:5" x14ac:dyDescent="0.3">
      <c r="B103" s="55" t="s">
        <v>34</v>
      </c>
      <c r="C103" s="34" t="s">
        <v>27</v>
      </c>
      <c r="D103" s="34" t="s">
        <v>29</v>
      </c>
      <c r="E103" s="34" t="s">
        <v>31</v>
      </c>
    </row>
    <row r="104" spans="2:5" ht="17.25" thickBot="1" x14ac:dyDescent="0.35">
      <c r="B104" s="56"/>
      <c r="C104" s="31"/>
      <c r="D104" s="31"/>
      <c r="E104" s="31"/>
    </row>
    <row r="105" spans="2:5" x14ac:dyDescent="0.3">
      <c r="B105" s="1" t="s">
        <v>1</v>
      </c>
      <c r="C105" s="5"/>
      <c r="D105" s="5"/>
      <c r="E105" s="5"/>
    </row>
    <row r="106" spans="2:5" x14ac:dyDescent="0.3">
      <c r="B106" s="2" t="s">
        <v>2</v>
      </c>
      <c r="C106" s="6"/>
      <c r="D106" s="6"/>
      <c r="E106" s="6"/>
    </row>
    <row r="107" spans="2:5" x14ac:dyDescent="0.3">
      <c r="B107" s="2" t="s">
        <v>3</v>
      </c>
      <c r="C107" s="6"/>
      <c r="D107" s="6"/>
      <c r="E107" s="6"/>
    </row>
    <row r="108" spans="2:5" x14ac:dyDescent="0.3">
      <c r="B108" s="2" t="s">
        <v>4</v>
      </c>
      <c r="C108" s="6"/>
      <c r="D108" s="6"/>
      <c r="E108" s="6"/>
    </row>
    <row r="109" spans="2:5" x14ac:dyDescent="0.3">
      <c r="B109" s="2" t="s">
        <v>5</v>
      </c>
      <c r="C109" s="6"/>
      <c r="D109" s="6"/>
      <c r="E109" s="6"/>
    </row>
    <row r="110" spans="2:5" x14ac:dyDescent="0.3">
      <c r="B110" s="2" t="s">
        <v>6</v>
      </c>
      <c r="C110" s="6"/>
      <c r="D110" s="6"/>
      <c r="E110" s="6"/>
    </row>
    <row r="111" spans="2:5" x14ac:dyDescent="0.3">
      <c r="B111" s="2" t="s">
        <v>7</v>
      </c>
      <c r="C111" s="6"/>
      <c r="D111" s="6"/>
      <c r="E111" s="6"/>
    </row>
    <row r="112" spans="2:5" x14ac:dyDescent="0.3">
      <c r="B112" s="2" t="s">
        <v>8</v>
      </c>
      <c r="C112" s="6"/>
      <c r="D112" s="6"/>
      <c r="E112" s="6"/>
    </row>
    <row r="113" spans="2:5" x14ac:dyDescent="0.3">
      <c r="B113" s="2" t="s">
        <v>9</v>
      </c>
      <c r="C113" s="6"/>
      <c r="D113" s="6"/>
      <c r="E113" s="6"/>
    </row>
    <row r="114" spans="2:5" x14ac:dyDescent="0.3">
      <c r="B114" s="2" t="s">
        <v>10</v>
      </c>
      <c r="C114" s="6"/>
      <c r="D114" s="6"/>
      <c r="E114" s="6"/>
    </row>
    <row r="115" spans="2:5" x14ac:dyDescent="0.3">
      <c r="B115" s="2" t="s">
        <v>11</v>
      </c>
      <c r="C115" s="6"/>
      <c r="D115" s="6"/>
      <c r="E115" s="6"/>
    </row>
    <row r="116" spans="2:5" x14ac:dyDescent="0.3">
      <c r="B116" s="2" t="s">
        <v>12</v>
      </c>
      <c r="C116" s="6"/>
      <c r="D116" s="6"/>
      <c r="E116" s="6"/>
    </row>
    <row r="117" spans="2:5" ht="17.25" thickBot="1" x14ac:dyDescent="0.35">
      <c r="B117" s="4" t="s">
        <v>13</v>
      </c>
      <c r="C117" s="31"/>
      <c r="D117" s="31"/>
      <c r="E117" s="31"/>
    </row>
    <row r="118" spans="2:5" ht="17.25" thickBot="1" x14ac:dyDescent="0.35">
      <c r="B118" s="47"/>
      <c r="C118" s="48"/>
      <c r="D118" s="48"/>
      <c r="E118" s="48"/>
    </row>
    <row r="119" spans="2:5" ht="17.25" thickBot="1" x14ac:dyDescent="0.35">
      <c r="B119" s="50"/>
      <c r="C119" s="51" t="s">
        <v>27</v>
      </c>
      <c r="D119" s="51" t="s">
        <v>29</v>
      </c>
      <c r="E119" s="51" t="s">
        <v>31</v>
      </c>
    </row>
    <row r="120" spans="2:5" x14ac:dyDescent="0.3">
      <c r="B120" s="18" t="s">
        <v>14</v>
      </c>
      <c r="C120" s="27"/>
      <c r="D120" s="27"/>
      <c r="E120" s="27"/>
    </row>
    <row r="121" spans="2:5" x14ac:dyDescent="0.3">
      <c r="B121" s="2" t="s">
        <v>15</v>
      </c>
      <c r="C121" s="7"/>
      <c r="D121" s="7"/>
      <c r="E121" s="7"/>
    </row>
    <row r="122" spans="2:5" x14ac:dyDescent="0.3">
      <c r="B122" s="3" t="s">
        <v>16</v>
      </c>
      <c r="C122" s="7"/>
      <c r="D122" s="7"/>
      <c r="E122" s="7"/>
    </row>
    <row r="123" spans="2:5" x14ac:dyDescent="0.3">
      <c r="B123" s="2" t="s">
        <v>17</v>
      </c>
      <c r="C123" s="7"/>
      <c r="D123" s="7"/>
      <c r="E123" s="7"/>
    </row>
    <row r="124" spans="2:5" x14ac:dyDescent="0.3">
      <c r="B124" s="2"/>
      <c r="C124" s="7"/>
      <c r="D124" s="7"/>
      <c r="E124" s="7"/>
    </row>
    <row r="125" spans="2:5" ht="17.25" thickBot="1" x14ac:dyDescent="0.35">
      <c r="B125" s="4" t="s">
        <v>18</v>
      </c>
      <c r="C125" s="9">
        <v>9.3187516895579345E-2</v>
      </c>
      <c r="D125" s="9">
        <v>0.26734987001785543</v>
      </c>
      <c r="E125" s="9">
        <v>0.45462816298999875</v>
      </c>
    </row>
  </sheetData>
  <mergeCells count="8">
    <mergeCell ref="B78:B79"/>
    <mergeCell ref="B103:B104"/>
    <mergeCell ref="B2:G2"/>
    <mergeCell ref="B3:B4"/>
    <mergeCell ref="B27:G27"/>
    <mergeCell ref="B28:B29"/>
    <mergeCell ref="B52:G52"/>
    <mergeCell ref="B53:B54"/>
  </mergeCells>
  <phoneticPr fontId="1" type="noConversion"/>
  <conditionalFormatting sqref="C30:C31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{472F8F51-2A03-47BF-BA77-F7E3DAD861EF}</x14:id>
        </ext>
      </extLst>
    </cfRule>
  </conditionalFormatting>
  <conditionalFormatting sqref="C32:C3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{8048DEDB-AB5B-40D0-AD43-7AE31A34ABEB}</x14:id>
        </ext>
      </extLst>
    </cfRule>
  </conditionalFormatting>
  <conditionalFormatting sqref="C80:C81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{C2EC10C9-79E8-49F3-ACB4-2BBE0177DF26}</x14:id>
        </ext>
      </extLst>
    </cfRule>
  </conditionalFormatting>
  <conditionalFormatting sqref="C82:C8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{DB9163D7-159A-4355-B3D5-AEC4A0CC8D41}</x14:id>
        </ext>
      </extLst>
    </cfRule>
  </conditionalFormatting>
  <conditionalFormatting sqref="C5:E6">
    <cfRule type="dataBar" priority="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{4EC24F95-B2E8-4982-B432-B150EC761DB0}</x14:id>
        </ext>
      </extLst>
    </cfRule>
  </conditionalFormatting>
  <conditionalFormatting sqref="C7:E14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{B0B5B874-458E-4409-AC05-213345FADA18}</x14:id>
        </ext>
      </extLst>
    </cfRule>
  </conditionalFormatting>
  <conditionalFormatting sqref="C55:E5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{B23661A4-9F8C-45FB-B088-574750F5C641}</x14:id>
        </ext>
      </extLst>
    </cfRule>
  </conditionalFormatting>
  <conditionalFormatting sqref="C57:E64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{B5A4B19C-5B48-4450-B240-FAE18BFB72F2}</x14:id>
        </ext>
      </extLst>
    </cfRule>
  </conditionalFormatting>
  <conditionalFormatting sqref="D30:D31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{260F313F-1B57-4B36-89E2-A6D2FE119E26}</x14:id>
        </ext>
      </extLst>
    </cfRule>
  </conditionalFormatting>
  <conditionalFormatting sqref="D32:D3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{84EEFFE7-1BF4-419F-95DD-B61A81C7593A}</x14:id>
        </ext>
      </extLst>
    </cfRule>
  </conditionalFormatting>
  <conditionalFormatting sqref="D80:D81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{7DCF2C51-04A8-4455-BCD6-6068776A2A88}</x14:id>
        </ext>
      </extLst>
    </cfRule>
  </conditionalFormatting>
  <conditionalFormatting sqref="D82:D8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{7F4435F8-6F6D-4071-8A82-BC16E5CC8463}</x14:id>
        </ext>
      </extLst>
    </cfRule>
  </conditionalFormatting>
  <conditionalFormatting sqref="E30:E31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{489B50B5-2A42-4EC0-9B8C-C864256AD123}</x14:id>
        </ext>
      </extLst>
    </cfRule>
  </conditionalFormatting>
  <conditionalFormatting sqref="E32:E3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{AC6F029D-CAD6-410A-987A-A8CA69E69F19}</x14:id>
        </ext>
      </extLst>
    </cfRule>
  </conditionalFormatting>
  <conditionalFormatting sqref="E80:E8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{B8554C7D-4AE2-4249-89C0-376C7C1DDD72}</x14:id>
        </ext>
      </extLst>
    </cfRule>
  </conditionalFormatting>
  <conditionalFormatting sqref="E82:E8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{BFDCD40B-B0E9-4C55-8D32-1B292A0AB2B1}</x14:id>
        </ext>
      </extLst>
    </cfRule>
  </conditionalFormatting>
  <conditionalFormatting sqref="F5:F14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{F155EB66-87A6-4408-85F0-817389A0301F}</x14:id>
        </ext>
      </extLst>
    </cfRule>
  </conditionalFormatting>
  <conditionalFormatting sqref="F7:F14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{7ECE1699-E0C8-4C9B-AE94-87C7D015D2E4}</x14:id>
        </ext>
      </extLst>
    </cfRule>
  </conditionalFormatting>
  <conditionalFormatting sqref="F30:F39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{6F7CA211-20C1-446B-A15E-684D406EEC41}</x14:id>
        </ext>
      </extLst>
    </cfRule>
  </conditionalFormatting>
  <conditionalFormatting sqref="F32:F3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{6AE68247-43CB-409C-A8A5-6E7DBB68621A}</x14:id>
        </ext>
      </extLst>
    </cfRule>
  </conditionalFormatting>
  <conditionalFormatting sqref="F55:F64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{3C772B0C-F501-4371-A014-7BC62781231A}</x14:id>
        </ext>
      </extLst>
    </cfRule>
  </conditionalFormatting>
  <conditionalFormatting sqref="F57:F64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{C2CECB9F-1F4E-4055-AC27-507C8E905198}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2F8F51-2A03-47BF-BA77-F7E3DAD861E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C30:C31</xm:sqref>
        </x14:conditionalFormatting>
        <x14:conditionalFormatting xmlns:xm="http://schemas.microsoft.com/office/excel/2006/main">
          <x14:cfRule type="dataBar" id="{8048DEDB-AB5B-40D0-AD43-7AE31A34AB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C32:C39</xm:sqref>
        </x14:conditionalFormatting>
        <x14:conditionalFormatting xmlns:xm="http://schemas.microsoft.com/office/excel/2006/main">
          <x14:cfRule type="dataBar" id="{C2EC10C9-79E8-49F3-ACB4-2BBE0177DF2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C80:C81</xm:sqref>
        </x14:conditionalFormatting>
        <x14:conditionalFormatting xmlns:xm="http://schemas.microsoft.com/office/excel/2006/main">
          <x14:cfRule type="dataBar" id="{DB9163D7-159A-4355-B3D5-AEC4A0CC8D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C82:C89</xm:sqref>
        </x14:conditionalFormatting>
        <x14:conditionalFormatting xmlns:xm="http://schemas.microsoft.com/office/excel/2006/main">
          <x14:cfRule type="dataBar" id="{4EC24F95-B2E8-4982-B432-B150EC761DB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C5:E6</xm:sqref>
        </x14:conditionalFormatting>
        <x14:conditionalFormatting xmlns:xm="http://schemas.microsoft.com/office/excel/2006/main">
          <x14:cfRule type="dataBar" id="{B0B5B874-458E-4409-AC05-213345FAD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C7:E14</xm:sqref>
        </x14:conditionalFormatting>
        <x14:conditionalFormatting xmlns:xm="http://schemas.microsoft.com/office/excel/2006/main">
          <x14:cfRule type="dataBar" id="{B23661A4-9F8C-45FB-B088-574750F5C64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C55:E56</xm:sqref>
        </x14:conditionalFormatting>
        <x14:conditionalFormatting xmlns:xm="http://schemas.microsoft.com/office/excel/2006/main">
          <x14:cfRule type="dataBar" id="{B5A4B19C-5B48-4450-B240-FAE18BFB7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C57:E64</xm:sqref>
        </x14:conditionalFormatting>
        <x14:conditionalFormatting xmlns:xm="http://schemas.microsoft.com/office/excel/2006/main">
          <x14:cfRule type="dataBar" id="{260F313F-1B57-4B36-89E2-A6D2FE119E2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D30:D31</xm:sqref>
        </x14:conditionalFormatting>
        <x14:conditionalFormatting xmlns:xm="http://schemas.microsoft.com/office/excel/2006/main">
          <x14:cfRule type="dataBar" id="{84EEFFE7-1BF4-419F-95DD-B61A81C759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D32:D39</xm:sqref>
        </x14:conditionalFormatting>
        <x14:conditionalFormatting xmlns:xm="http://schemas.microsoft.com/office/excel/2006/main">
          <x14:cfRule type="dataBar" id="{7DCF2C51-04A8-4455-BCD6-6068776A2A8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D80:D81</xm:sqref>
        </x14:conditionalFormatting>
        <x14:conditionalFormatting xmlns:xm="http://schemas.microsoft.com/office/excel/2006/main">
          <x14:cfRule type="dataBar" id="{7F4435F8-6F6D-4071-8A82-BC16E5CC8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D82:D89</xm:sqref>
        </x14:conditionalFormatting>
        <x14:conditionalFormatting xmlns:xm="http://schemas.microsoft.com/office/excel/2006/main">
          <x14:cfRule type="dataBar" id="{489B50B5-2A42-4EC0-9B8C-C864256AD12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E30:E31</xm:sqref>
        </x14:conditionalFormatting>
        <x14:conditionalFormatting xmlns:xm="http://schemas.microsoft.com/office/excel/2006/main">
          <x14:cfRule type="dataBar" id="{AC6F029D-CAD6-410A-987A-A8CA69E69F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E32:E39</xm:sqref>
        </x14:conditionalFormatting>
        <x14:conditionalFormatting xmlns:xm="http://schemas.microsoft.com/office/excel/2006/main">
          <x14:cfRule type="dataBar" id="{B8554C7D-4AE2-4249-89C0-376C7C1DDD7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E80:E81</xm:sqref>
        </x14:conditionalFormatting>
        <x14:conditionalFormatting xmlns:xm="http://schemas.microsoft.com/office/excel/2006/main">
          <x14:cfRule type="dataBar" id="{BFDCD40B-B0E9-4C55-8D32-1B292A0AB2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E82:E89</xm:sqref>
        </x14:conditionalFormatting>
        <x14:conditionalFormatting xmlns:xm="http://schemas.microsoft.com/office/excel/2006/main">
          <x14:cfRule type="dataBar" id="{F155EB66-87A6-4408-85F0-817389A0301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F5:F14</xm:sqref>
        </x14:conditionalFormatting>
        <x14:conditionalFormatting xmlns:xm="http://schemas.microsoft.com/office/excel/2006/main">
          <x14:cfRule type="dataBar" id="{7ECE1699-E0C8-4C9B-AE94-87C7D015D2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F7:F14</xm:sqref>
        </x14:conditionalFormatting>
        <x14:conditionalFormatting xmlns:xm="http://schemas.microsoft.com/office/excel/2006/main">
          <x14:cfRule type="dataBar" id="{6F7CA211-20C1-446B-A15E-684D406EEC4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F30:F39</xm:sqref>
        </x14:conditionalFormatting>
        <x14:conditionalFormatting xmlns:xm="http://schemas.microsoft.com/office/excel/2006/main">
          <x14:cfRule type="dataBar" id="{6AE68247-43CB-409C-A8A5-6E7DBB6862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F32:F39</xm:sqref>
        </x14:conditionalFormatting>
        <x14:conditionalFormatting xmlns:xm="http://schemas.microsoft.com/office/excel/2006/main">
          <x14:cfRule type="dataBar" id="{3C772B0C-F501-4371-A014-7BC62781231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F55:F64</xm:sqref>
        </x14:conditionalFormatting>
        <x14:conditionalFormatting xmlns:xm="http://schemas.microsoft.com/office/excel/2006/main">
          <x14:cfRule type="dataBar" id="{C2CECB9F-1F4E-4055-AC27-507C8E9051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F57:F64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322DF-71BB-41CC-8162-5AC9CD14CD57}">
  <dimension ref="B1:G125"/>
  <sheetViews>
    <sheetView zoomScale="85" zoomScaleNormal="85" workbookViewId="0">
      <selection activeCell="M16" sqref="M16"/>
    </sheetView>
  </sheetViews>
  <sheetFormatPr defaultRowHeight="16.5" x14ac:dyDescent="0.3"/>
  <cols>
    <col min="2" max="7" width="15.625" customWidth="1"/>
  </cols>
  <sheetData>
    <row r="1" spans="2:7" ht="17.25" thickBot="1" x14ac:dyDescent="0.35"/>
    <row r="2" spans="2:7" ht="17.25" thickBot="1" x14ac:dyDescent="0.35">
      <c r="B2" s="57"/>
      <c r="C2" s="58"/>
      <c r="D2" s="58"/>
      <c r="E2" s="58"/>
      <c r="F2" s="58"/>
      <c r="G2" s="59"/>
    </row>
    <row r="3" spans="2:7" x14ac:dyDescent="0.3">
      <c r="B3" s="60" t="s">
        <v>22</v>
      </c>
      <c r="C3" s="34">
        <v>46066</v>
      </c>
      <c r="D3" s="34">
        <v>46073</v>
      </c>
      <c r="E3" s="35">
        <v>46089</v>
      </c>
      <c r="F3" s="15" t="s">
        <v>20</v>
      </c>
      <c r="G3" s="16" t="s">
        <v>21</v>
      </c>
    </row>
    <row r="4" spans="2:7" x14ac:dyDescent="0.3">
      <c r="B4" s="61"/>
      <c r="C4" s="6" t="s">
        <v>19</v>
      </c>
      <c r="D4" s="6" t="s">
        <v>19</v>
      </c>
      <c r="E4" s="11" t="s">
        <v>19</v>
      </c>
      <c r="F4" s="17" t="s">
        <v>19</v>
      </c>
      <c r="G4" s="11"/>
    </row>
    <row r="5" spans="2:7" x14ac:dyDescent="0.3">
      <c r="B5" s="2" t="s">
        <v>1</v>
      </c>
      <c r="C5" s="6">
        <v>2.291580488832027</v>
      </c>
      <c r="D5" s="6">
        <v>2.4342770712077391</v>
      </c>
      <c r="E5" s="11">
        <v>2.560443512915298</v>
      </c>
      <c r="F5" s="2">
        <f>AVERAGE(C5:E5)</f>
        <v>2.4287670243183546</v>
      </c>
      <c r="G5" s="11">
        <f>_xlfn.STDEV.P(C5:E5)</f>
        <v>0.1098319986535278</v>
      </c>
    </row>
    <row r="6" spans="2:7" x14ac:dyDescent="0.3">
      <c r="B6" s="2" t="s">
        <v>2</v>
      </c>
      <c r="C6" s="6">
        <v>3.0190222137136389</v>
      </c>
      <c r="D6" s="6">
        <v>2.9517317088590551</v>
      </c>
      <c r="E6" s="11">
        <v>2.5955914984846915</v>
      </c>
      <c r="F6" s="2">
        <f t="shared" ref="F6:F17" si="0">AVERAGE(C6:E6)</f>
        <v>2.855448473685795</v>
      </c>
      <c r="G6" s="11">
        <f t="shared" ref="G6:G17" si="1">_xlfn.STDEV.P(C6:E6)</f>
        <v>0.18578883834682938</v>
      </c>
    </row>
    <row r="7" spans="2:7" x14ac:dyDescent="0.3">
      <c r="B7" s="2" t="s">
        <v>3</v>
      </c>
      <c r="C7" s="6">
        <v>0.36085704489910031</v>
      </c>
      <c r="D7" s="6">
        <v>0.30471311973466619</v>
      </c>
      <c r="E7" s="11">
        <v>0.34375698265349092</v>
      </c>
      <c r="F7" s="2">
        <f t="shared" si="0"/>
        <v>0.33644238242908581</v>
      </c>
      <c r="G7" s="11">
        <f t="shared" si="1"/>
        <v>2.3496987261484466E-2</v>
      </c>
    </row>
    <row r="8" spans="2:7" x14ac:dyDescent="0.3">
      <c r="B8" s="2" t="s">
        <v>4</v>
      </c>
      <c r="C8" s="6">
        <v>0.63941741551854892</v>
      </c>
      <c r="D8" s="6">
        <v>0.55315066406545277</v>
      </c>
      <c r="E8" s="11">
        <v>0.62229176909994022</v>
      </c>
      <c r="F8" s="2">
        <f t="shared" si="0"/>
        <v>0.60495328289464734</v>
      </c>
      <c r="G8" s="11">
        <f t="shared" si="1"/>
        <v>3.7291244991158594E-2</v>
      </c>
    </row>
    <row r="9" spans="2:7" x14ac:dyDescent="0.3">
      <c r="B9" s="2" t="s">
        <v>5</v>
      </c>
      <c r="C9" s="6">
        <v>0.84068635456037444</v>
      </c>
      <c r="D9" s="6">
        <v>0.81194783852429819</v>
      </c>
      <c r="E9" s="11">
        <v>0.72719076327137089</v>
      </c>
      <c r="F9" s="2">
        <f t="shared" si="0"/>
        <v>0.79327498545201447</v>
      </c>
      <c r="G9" s="11">
        <f t="shared" si="1"/>
        <v>4.8178964233397237E-2</v>
      </c>
    </row>
    <row r="10" spans="2:7" x14ac:dyDescent="0.3">
      <c r="B10" s="2" t="s">
        <v>6</v>
      </c>
      <c r="C10" s="6">
        <v>0.95272858282890227</v>
      </c>
      <c r="D10" s="6">
        <v>1.1385244170342075</v>
      </c>
      <c r="E10" s="11">
        <v>0.840029320798794</v>
      </c>
      <c r="F10" s="2">
        <f t="shared" si="0"/>
        <v>0.97709410688730125</v>
      </c>
      <c r="G10" s="11">
        <f t="shared" si="1"/>
        <v>0.12307203768830577</v>
      </c>
    </row>
    <row r="11" spans="2:7" x14ac:dyDescent="0.3">
      <c r="B11" s="2" t="s">
        <v>7</v>
      </c>
      <c r="C11" s="6">
        <v>0.50738131354600036</v>
      </c>
      <c r="D11" s="6">
        <v>0.52204709947886241</v>
      </c>
      <c r="E11" s="11">
        <v>0.417446155673043</v>
      </c>
      <c r="F11" s="2">
        <f t="shared" si="0"/>
        <v>0.48229152289930194</v>
      </c>
      <c r="G11" s="11">
        <f t="shared" si="1"/>
        <v>4.6241846541045586E-2</v>
      </c>
    </row>
    <row r="12" spans="2:7" x14ac:dyDescent="0.3">
      <c r="B12" s="2" t="s">
        <v>8</v>
      </c>
      <c r="C12" s="6">
        <v>0.13624284548582441</v>
      </c>
      <c r="D12" s="6">
        <v>0.14107363433202177</v>
      </c>
      <c r="E12" s="11">
        <v>0.11738094019126391</v>
      </c>
      <c r="F12" s="2">
        <f t="shared" si="0"/>
        <v>0.13156580666970338</v>
      </c>
      <c r="G12" s="11">
        <f t="shared" si="1"/>
        <v>1.0222261914648268E-2</v>
      </c>
    </row>
    <row r="13" spans="2:7" x14ac:dyDescent="0.3">
      <c r="B13" s="2" t="s">
        <v>9</v>
      </c>
      <c r="C13" s="6">
        <v>2.8666157870032367E-2</v>
      </c>
      <c r="D13" s="6">
        <v>2.942783824894224E-2</v>
      </c>
      <c r="E13" s="11">
        <v>3.0297665132048759E-2</v>
      </c>
      <c r="F13" s="2">
        <f t="shared" si="0"/>
        <v>2.9463887083674454E-2</v>
      </c>
      <c r="G13" s="11">
        <f t="shared" si="1"/>
        <v>6.6654763539060924E-4</v>
      </c>
    </row>
    <row r="14" spans="2:7" x14ac:dyDescent="0.3">
      <c r="B14" s="2" t="s">
        <v>10</v>
      </c>
      <c r="C14" s="6">
        <v>1.431102189550338E-2</v>
      </c>
      <c r="D14" s="6">
        <v>1.7473799659659405E-2</v>
      </c>
      <c r="E14" s="11">
        <v>1.2539274166718075E-2</v>
      </c>
      <c r="F14" s="2">
        <f t="shared" si="0"/>
        <v>1.4774698573960285E-2</v>
      </c>
      <c r="G14" s="11">
        <f t="shared" si="1"/>
        <v>2.0410181293871598E-3</v>
      </c>
    </row>
    <row r="15" spans="2:7" x14ac:dyDescent="0.3">
      <c r="B15" s="2" t="s">
        <v>11</v>
      </c>
      <c r="C15" s="6">
        <v>2.3147565256835767</v>
      </c>
      <c r="D15" s="6">
        <v>1.8401369726184811</v>
      </c>
      <c r="E15" s="11">
        <v>1.8661802257781226</v>
      </c>
      <c r="F15" s="2">
        <f t="shared" si="0"/>
        <v>2.0070245746933932</v>
      </c>
      <c r="G15" s="11">
        <f t="shared" si="1"/>
        <v>0.2178589421375724</v>
      </c>
    </row>
    <row r="16" spans="2:7" x14ac:dyDescent="0.3">
      <c r="B16" s="2" t="s">
        <v>12</v>
      </c>
      <c r="C16" s="6">
        <v>0.55013127666624606</v>
      </c>
      <c r="D16" s="6">
        <v>0.46994256874221318</v>
      </c>
      <c r="E16" s="11">
        <v>0.44950014953729145</v>
      </c>
      <c r="F16" s="2">
        <f t="shared" si="0"/>
        <v>0.48985799831525023</v>
      </c>
      <c r="G16" s="11">
        <f t="shared" si="1"/>
        <v>4.3429054699359239E-2</v>
      </c>
    </row>
    <row r="17" spans="2:7" x14ac:dyDescent="0.3">
      <c r="B17" s="2" t="s">
        <v>13</v>
      </c>
      <c r="C17" s="6">
        <v>2.890426336824345</v>
      </c>
      <c r="D17" s="6">
        <v>2.8149576463271622</v>
      </c>
      <c r="E17" s="11">
        <v>3.2987353883565422</v>
      </c>
      <c r="F17" s="2">
        <f t="shared" si="0"/>
        <v>3.0013731238360166</v>
      </c>
      <c r="G17" s="11">
        <f t="shared" si="1"/>
        <v>0.21251214566375767</v>
      </c>
    </row>
    <row r="18" spans="2:7" x14ac:dyDescent="0.3">
      <c r="B18" s="2"/>
      <c r="C18" s="6"/>
      <c r="D18" s="6"/>
      <c r="E18" s="11"/>
      <c r="F18" s="18"/>
      <c r="G18" s="19"/>
    </row>
    <row r="19" spans="2:7" ht="17.25" thickBot="1" x14ac:dyDescent="0.35">
      <c r="B19" s="4"/>
      <c r="C19" s="31"/>
      <c r="D19" s="31"/>
      <c r="E19" s="33"/>
      <c r="F19" s="4"/>
      <c r="G19" s="33"/>
    </row>
    <row r="20" spans="2:7" x14ac:dyDescent="0.3">
      <c r="B20" s="18" t="s">
        <v>14</v>
      </c>
      <c r="C20" s="27">
        <v>8.7908934391499542</v>
      </c>
      <c r="D20" s="27">
        <v>8.9043671911449049</v>
      </c>
      <c r="E20" s="29">
        <v>8.266967882386659</v>
      </c>
      <c r="F20" s="30">
        <f>AVERAGE(C20:E20)</f>
        <v>8.6540761708938394</v>
      </c>
      <c r="G20" s="29">
        <f>_xlfn.STDEV.P(C20:E20)</f>
        <v>0.27761927571306677</v>
      </c>
    </row>
    <row r="21" spans="2:7" x14ac:dyDescent="0.3">
      <c r="B21" s="2" t="s">
        <v>15</v>
      </c>
      <c r="C21" s="7">
        <v>2.4800162761866371</v>
      </c>
      <c r="D21" s="7">
        <v>2.6604946272779912</v>
      </c>
      <c r="E21" s="12">
        <v>2.1448841192332382</v>
      </c>
      <c r="F21" s="20">
        <f>AVERAGE(C21:E21)</f>
        <v>2.4284650075659555</v>
      </c>
      <c r="G21" s="12">
        <f>_xlfn.STDEV.P(C21:E21)</f>
        <v>0.21363005246429062</v>
      </c>
    </row>
    <row r="22" spans="2:7" x14ac:dyDescent="0.3">
      <c r="B22" s="3" t="s">
        <v>16</v>
      </c>
      <c r="C22" s="8">
        <v>28.211197113844722</v>
      </c>
      <c r="D22" s="8">
        <v>29.878536791741517</v>
      </c>
      <c r="E22" s="13">
        <v>25.945233485218449</v>
      </c>
      <c r="F22" s="21">
        <f>AVERAGE(C22:E22)</f>
        <v>28.0116557969349</v>
      </c>
      <c r="G22" s="12">
        <f>_xlfn.STDEV.P(C22:E22)</f>
        <v>1.6119514629049074</v>
      </c>
    </row>
    <row r="23" spans="2:7" x14ac:dyDescent="0.3">
      <c r="B23" s="2" t="s">
        <v>17</v>
      </c>
      <c r="C23" s="7">
        <v>11.105649964833532</v>
      </c>
      <c r="D23" s="7">
        <v>10.744504163763386</v>
      </c>
      <c r="E23" s="12">
        <v>10.133148108164782</v>
      </c>
      <c r="F23" s="20">
        <f>AVERAGE(C23:E23)</f>
        <v>10.661100745587234</v>
      </c>
      <c r="G23" s="12">
        <f>_xlfn.STDEV.P(C23:E23)</f>
        <v>0.40137851041017875</v>
      </c>
    </row>
    <row r="24" spans="2:7" x14ac:dyDescent="0.3">
      <c r="B24" s="2"/>
      <c r="C24" s="7"/>
      <c r="D24" s="7"/>
      <c r="E24" s="12"/>
      <c r="F24" s="20"/>
      <c r="G24" s="12"/>
    </row>
    <row r="25" spans="2:7" ht="17.25" thickBot="1" x14ac:dyDescent="0.35">
      <c r="B25" s="4" t="s">
        <v>18</v>
      </c>
      <c r="C25" s="9">
        <v>14.546207578324122</v>
      </c>
      <c r="D25" s="9">
        <v>14.029404378832762</v>
      </c>
      <c r="E25" s="14">
        <v>13.881383646058616</v>
      </c>
      <c r="F25" s="22">
        <f>AVERAGE(C25:E25)</f>
        <v>14.152331867738502</v>
      </c>
      <c r="G25" s="14">
        <f>_xlfn.STDEV.P(C25:E25)</f>
        <v>0.28499250384848746</v>
      </c>
    </row>
    <row r="26" spans="2:7" ht="17.25" thickBot="1" x14ac:dyDescent="0.35"/>
    <row r="27" spans="2:7" ht="17.25" thickBot="1" x14ac:dyDescent="0.35">
      <c r="B27" s="57"/>
      <c r="C27" s="58"/>
      <c r="D27" s="58"/>
      <c r="E27" s="58"/>
      <c r="F27" s="58"/>
      <c r="G27" s="59"/>
    </row>
    <row r="28" spans="2:7" ht="16.5" customHeight="1" x14ac:dyDescent="0.3">
      <c r="B28" s="62" t="s">
        <v>39</v>
      </c>
      <c r="C28" s="36">
        <v>46094</v>
      </c>
      <c r="D28" s="36"/>
      <c r="E28" s="36"/>
      <c r="F28" s="15" t="s">
        <v>20</v>
      </c>
      <c r="G28" s="16" t="s">
        <v>21</v>
      </c>
    </row>
    <row r="29" spans="2:7" x14ac:dyDescent="0.3">
      <c r="B29" s="60"/>
      <c r="C29" s="23" t="s">
        <v>19</v>
      </c>
      <c r="D29" s="23" t="s">
        <v>19</v>
      </c>
      <c r="E29" s="24" t="s">
        <v>19</v>
      </c>
      <c r="F29" s="17" t="s">
        <v>19</v>
      </c>
      <c r="G29" s="11"/>
    </row>
    <row r="30" spans="2:7" x14ac:dyDescent="0.3">
      <c r="B30" s="2" t="s">
        <v>1</v>
      </c>
      <c r="C30" s="6">
        <v>3.0919585918495605</v>
      </c>
      <c r="D30" s="6"/>
      <c r="E30" s="11"/>
      <c r="F30" s="2">
        <f>AVERAGE(C30:E30)</f>
        <v>3.0919585918495605</v>
      </c>
      <c r="G30" s="11">
        <f>_xlfn.STDEV.P(C30:E30)</f>
        <v>0</v>
      </c>
    </row>
    <row r="31" spans="2:7" x14ac:dyDescent="0.3">
      <c r="B31" s="2" t="s">
        <v>2</v>
      </c>
      <c r="C31" s="6">
        <v>2.6450093760665991</v>
      </c>
      <c r="D31" s="6"/>
      <c r="E31" s="11"/>
      <c r="F31" s="2">
        <f t="shared" ref="F31:F42" si="2">AVERAGE(C31:E31)</f>
        <v>2.6450093760665991</v>
      </c>
      <c r="G31" s="11">
        <f t="shared" ref="G31:G42" si="3">_xlfn.STDEV.P(C31:E31)</f>
        <v>0</v>
      </c>
    </row>
    <row r="32" spans="2:7" x14ac:dyDescent="0.3">
      <c r="B32" s="2" t="s">
        <v>3</v>
      </c>
      <c r="C32" s="6">
        <v>0.28043142963302631</v>
      </c>
      <c r="D32" s="6"/>
      <c r="E32" s="11"/>
      <c r="F32" s="2">
        <f t="shared" si="2"/>
        <v>0.28043142963302631</v>
      </c>
      <c r="G32" s="11">
        <f t="shared" si="3"/>
        <v>0</v>
      </c>
    </row>
    <row r="33" spans="2:7" x14ac:dyDescent="0.3">
      <c r="B33" s="2" t="s">
        <v>4</v>
      </c>
      <c r="C33" s="6">
        <v>0.52623450412226147</v>
      </c>
      <c r="D33" s="6"/>
      <c r="E33" s="11"/>
      <c r="F33" s="2">
        <f t="shared" si="2"/>
        <v>0.52623450412226147</v>
      </c>
      <c r="G33" s="11">
        <f t="shared" si="3"/>
        <v>0</v>
      </c>
    </row>
    <row r="34" spans="2:7" x14ac:dyDescent="0.3">
      <c r="B34" s="2" t="s">
        <v>5</v>
      </c>
      <c r="C34" s="6">
        <v>0.74672335188629391</v>
      </c>
      <c r="D34" s="6"/>
      <c r="E34" s="11"/>
      <c r="F34" s="2">
        <f t="shared" si="2"/>
        <v>0.74672335188629391</v>
      </c>
      <c r="G34" s="11">
        <f t="shared" si="3"/>
        <v>0</v>
      </c>
    </row>
    <row r="35" spans="2:7" x14ac:dyDescent="0.3">
      <c r="B35" s="2" t="s">
        <v>6</v>
      </c>
      <c r="C35" s="6">
        <v>0.94493933961385634</v>
      </c>
      <c r="D35" s="6"/>
      <c r="E35" s="11"/>
      <c r="F35" s="2">
        <f t="shared" si="2"/>
        <v>0.94493933961385634</v>
      </c>
      <c r="G35" s="11">
        <f t="shared" si="3"/>
        <v>0</v>
      </c>
    </row>
    <row r="36" spans="2:7" x14ac:dyDescent="0.3">
      <c r="B36" s="2" t="s">
        <v>7</v>
      </c>
      <c r="C36" s="6">
        <v>0.45268707652083123</v>
      </c>
      <c r="D36" s="6"/>
      <c r="E36" s="11"/>
      <c r="F36" s="2">
        <f t="shared" si="2"/>
        <v>0.45268707652083123</v>
      </c>
      <c r="G36" s="11">
        <f t="shared" si="3"/>
        <v>0</v>
      </c>
    </row>
    <row r="37" spans="2:7" x14ac:dyDescent="0.3">
      <c r="B37" s="2" t="s">
        <v>8</v>
      </c>
      <c r="C37" s="6">
        <v>0.11261503924758454</v>
      </c>
      <c r="D37" s="6"/>
      <c r="E37" s="11"/>
      <c r="F37" s="2">
        <f t="shared" si="2"/>
        <v>0.11261503924758454</v>
      </c>
      <c r="G37" s="11">
        <f t="shared" si="3"/>
        <v>0</v>
      </c>
    </row>
    <row r="38" spans="2:7" x14ac:dyDescent="0.3">
      <c r="B38" s="2" t="s">
        <v>9</v>
      </c>
      <c r="C38" s="6">
        <v>2.7783066415699144E-2</v>
      </c>
      <c r="D38" s="6"/>
      <c r="E38" s="11"/>
      <c r="F38" s="2">
        <f t="shared" si="2"/>
        <v>2.7783066415699144E-2</v>
      </c>
      <c r="G38" s="11">
        <f t="shared" si="3"/>
        <v>0</v>
      </c>
    </row>
    <row r="39" spans="2:7" x14ac:dyDescent="0.3">
      <c r="B39" s="2" t="s">
        <v>10</v>
      </c>
      <c r="C39" s="6">
        <v>1.3634493764072608E-2</v>
      </c>
      <c r="D39" s="6"/>
      <c r="E39" s="11"/>
      <c r="F39" s="2">
        <f t="shared" si="2"/>
        <v>1.3634493764072608E-2</v>
      </c>
      <c r="G39" s="11">
        <f t="shared" si="3"/>
        <v>0</v>
      </c>
    </row>
    <row r="40" spans="2:7" x14ac:dyDescent="0.3">
      <c r="B40" s="2" t="s">
        <v>11</v>
      </c>
      <c r="C40" s="6">
        <v>2.1812531311408212</v>
      </c>
      <c r="D40" s="6"/>
      <c r="E40" s="11"/>
      <c r="F40" s="2">
        <f t="shared" si="2"/>
        <v>2.1812531311408212</v>
      </c>
      <c r="G40" s="11">
        <f t="shared" si="3"/>
        <v>0</v>
      </c>
    </row>
    <row r="41" spans="2:7" x14ac:dyDescent="0.3">
      <c r="B41" s="2" t="s">
        <v>12</v>
      </c>
      <c r="C41" s="6">
        <v>0.35623323936222945</v>
      </c>
      <c r="D41" s="6"/>
      <c r="E41" s="11"/>
      <c r="F41" s="2">
        <f t="shared" si="2"/>
        <v>0.35623323936222945</v>
      </c>
      <c r="G41" s="11">
        <f t="shared" si="3"/>
        <v>0</v>
      </c>
    </row>
    <row r="42" spans="2:7" x14ac:dyDescent="0.3">
      <c r="B42" s="2" t="s">
        <v>13</v>
      </c>
      <c r="C42" s="6">
        <v>2.7488168543084552</v>
      </c>
      <c r="D42" s="6"/>
      <c r="E42" s="11"/>
      <c r="F42" s="2">
        <f t="shared" si="2"/>
        <v>2.7488168543084552</v>
      </c>
      <c r="G42" s="11">
        <f t="shared" si="3"/>
        <v>0</v>
      </c>
    </row>
    <row r="43" spans="2:7" x14ac:dyDescent="0.3">
      <c r="B43" s="2"/>
      <c r="C43" s="6"/>
      <c r="D43" s="6"/>
      <c r="E43" s="11"/>
      <c r="F43" s="18"/>
      <c r="G43" s="19"/>
    </row>
    <row r="44" spans="2:7" ht="17.25" thickBot="1" x14ac:dyDescent="0.35">
      <c r="B44" s="4"/>
      <c r="C44" s="31"/>
      <c r="D44" s="32"/>
      <c r="E44" s="33"/>
      <c r="F44" s="4"/>
      <c r="G44" s="33"/>
    </row>
    <row r="45" spans="2:7" x14ac:dyDescent="0.3">
      <c r="B45" s="18" t="s">
        <v>14</v>
      </c>
      <c r="C45" s="27">
        <v>8.8420162691197852</v>
      </c>
      <c r="D45" s="28"/>
      <c r="E45" s="29"/>
      <c r="F45" s="30">
        <f>AVERAGE(C45:E45)</f>
        <v>8.8420162691197852</v>
      </c>
      <c r="G45" s="29">
        <f>_xlfn.STDEV.P(C45:E45)</f>
        <v>0</v>
      </c>
    </row>
    <row r="46" spans="2:7" x14ac:dyDescent="0.3">
      <c r="B46" s="2" t="s">
        <v>15</v>
      </c>
      <c r="C46" s="7">
        <v>2.2983823674483377</v>
      </c>
      <c r="D46" s="25"/>
      <c r="E46" s="12"/>
      <c r="F46" s="20">
        <f>AVERAGE(C46:E46)</f>
        <v>2.2983823674483377</v>
      </c>
      <c r="G46" s="12">
        <f>_xlfn.STDEV.P(C46:E46)</f>
        <v>0</v>
      </c>
    </row>
    <row r="47" spans="2:7" x14ac:dyDescent="0.3">
      <c r="B47" s="3" t="s">
        <v>16</v>
      </c>
      <c r="C47" s="8">
        <v>25.993871731217023</v>
      </c>
      <c r="D47" s="26"/>
      <c r="E47" s="13"/>
      <c r="F47" s="21">
        <f>AVERAGE(C47:E47)</f>
        <v>25.993871731217023</v>
      </c>
      <c r="G47" s="12">
        <f>_xlfn.STDEV.P(C47:E47)</f>
        <v>0</v>
      </c>
    </row>
    <row r="48" spans="2:7" x14ac:dyDescent="0.3">
      <c r="B48" s="2" t="s">
        <v>17</v>
      </c>
      <c r="C48" s="7">
        <v>11.023269400260606</v>
      </c>
      <c r="D48" s="25"/>
      <c r="E48" s="12"/>
      <c r="F48" s="20">
        <f>AVERAGE(C48:E48)</f>
        <v>11.023269400260606</v>
      </c>
      <c r="G48" s="12">
        <f>_xlfn.STDEV.P(C48:E48)</f>
        <v>0</v>
      </c>
    </row>
    <row r="49" spans="2:7" x14ac:dyDescent="0.3">
      <c r="B49" s="2"/>
      <c r="C49" s="7"/>
      <c r="D49" s="25"/>
      <c r="E49" s="12"/>
      <c r="F49" s="20"/>
      <c r="G49" s="12"/>
    </row>
    <row r="50" spans="2:7" ht="17.25" thickBot="1" x14ac:dyDescent="0.35">
      <c r="B50" s="4" t="s">
        <v>18</v>
      </c>
      <c r="C50" s="9">
        <v>14.12831949393129</v>
      </c>
      <c r="D50" s="9">
        <v>14.215070069744907</v>
      </c>
      <c r="E50" s="14">
        <v>14.256381036880267</v>
      </c>
      <c r="F50" s="22">
        <f>AVERAGE(C50:E50)</f>
        <v>14.199923533518822</v>
      </c>
      <c r="G50" s="14">
        <f>_xlfn.STDEV.P(C50:E50)</f>
        <v>5.3366674153784259E-2</v>
      </c>
    </row>
    <row r="51" spans="2:7" ht="17.25" thickBot="1" x14ac:dyDescent="0.35"/>
    <row r="52" spans="2:7" ht="17.25" thickBot="1" x14ac:dyDescent="0.35">
      <c r="B52" s="57"/>
      <c r="C52" s="58"/>
      <c r="D52" s="58"/>
      <c r="E52" s="58"/>
      <c r="F52" s="58"/>
      <c r="G52" s="59"/>
    </row>
    <row r="53" spans="2:7" x14ac:dyDescent="0.3">
      <c r="B53" s="60" t="s">
        <v>25</v>
      </c>
      <c r="C53" s="34">
        <v>46092</v>
      </c>
      <c r="D53" s="34"/>
      <c r="E53" s="35"/>
      <c r="F53" s="15" t="s">
        <v>20</v>
      </c>
      <c r="G53" s="16" t="s">
        <v>21</v>
      </c>
    </row>
    <row r="54" spans="2:7" x14ac:dyDescent="0.3">
      <c r="B54" s="61"/>
      <c r="C54" s="6" t="s">
        <v>19</v>
      </c>
      <c r="D54" s="6" t="s">
        <v>19</v>
      </c>
      <c r="E54" s="11" t="s">
        <v>19</v>
      </c>
      <c r="F54" s="17" t="s">
        <v>19</v>
      </c>
      <c r="G54" s="11"/>
    </row>
    <row r="55" spans="2:7" x14ac:dyDescent="0.3">
      <c r="B55" s="2" t="s">
        <v>1</v>
      </c>
      <c r="C55" s="6">
        <v>2.4950795557856353</v>
      </c>
      <c r="D55" s="6"/>
      <c r="E55" s="11"/>
      <c r="F55" s="2">
        <f>AVERAGE(C55:E55)</f>
        <v>2.4950795557856353</v>
      </c>
      <c r="G55" s="11">
        <f>_xlfn.STDEV.P(C55:E55)</f>
        <v>0</v>
      </c>
    </row>
    <row r="56" spans="2:7" x14ac:dyDescent="0.3">
      <c r="B56" s="2" t="s">
        <v>2</v>
      </c>
      <c r="C56" s="6">
        <v>2.8504398555878749</v>
      </c>
      <c r="D56" s="6"/>
      <c r="E56" s="11"/>
      <c r="F56" s="2">
        <f t="shared" ref="F56:F67" si="4">AVERAGE(C56:E56)</f>
        <v>2.8504398555878749</v>
      </c>
      <c r="G56" s="11">
        <f t="shared" ref="G56:G67" si="5">_xlfn.STDEV.P(C56:E56)</f>
        <v>0</v>
      </c>
    </row>
    <row r="57" spans="2:7" x14ac:dyDescent="0.3">
      <c r="B57" s="2" t="s">
        <v>3</v>
      </c>
      <c r="C57" s="6">
        <v>0.326588357624153</v>
      </c>
      <c r="D57" s="6"/>
      <c r="E57" s="11"/>
      <c r="F57" s="2">
        <f t="shared" si="4"/>
        <v>0.326588357624153</v>
      </c>
      <c r="G57" s="11">
        <f t="shared" si="5"/>
        <v>0</v>
      </c>
    </row>
    <row r="58" spans="2:7" x14ac:dyDescent="0.3">
      <c r="B58" s="2" t="s">
        <v>4</v>
      </c>
      <c r="C58" s="6">
        <v>0.65816826940281292</v>
      </c>
      <c r="D58" s="6"/>
      <c r="E58" s="11"/>
      <c r="F58" s="2">
        <f t="shared" si="4"/>
        <v>0.65816826940281292</v>
      </c>
      <c r="G58" s="11">
        <f t="shared" si="5"/>
        <v>0</v>
      </c>
    </row>
    <row r="59" spans="2:7" x14ac:dyDescent="0.3">
      <c r="B59" s="2" t="s">
        <v>5</v>
      </c>
      <c r="C59" s="6">
        <v>0.82811441094468652</v>
      </c>
      <c r="D59" s="6"/>
      <c r="E59" s="11"/>
      <c r="F59" s="2">
        <f t="shared" si="4"/>
        <v>0.82811441094468652</v>
      </c>
      <c r="G59" s="11">
        <f t="shared" si="5"/>
        <v>0</v>
      </c>
    </row>
    <row r="60" spans="2:7" x14ac:dyDescent="0.3">
      <c r="B60" s="2" t="s">
        <v>6</v>
      </c>
      <c r="C60" s="6">
        <v>1.0568565519234876</v>
      </c>
      <c r="D60" s="6"/>
      <c r="E60" s="11"/>
      <c r="F60" s="2">
        <f t="shared" si="4"/>
        <v>1.0568565519234876</v>
      </c>
      <c r="G60" s="11">
        <f t="shared" si="5"/>
        <v>0</v>
      </c>
    </row>
    <row r="61" spans="2:7" x14ac:dyDescent="0.3">
      <c r="B61" s="2" t="s">
        <v>7</v>
      </c>
      <c r="C61" s="6">
        <v>0.44158550537579361</v>
      </c>
      <c r="D61" s="6"/>
      <c r="E61" s="11"/>
      <c r="F61" s="2">
        <f t="shared" si="4"/>
        <v>0.44158550537579361</v>
      </c>
      <c r="G61" s="11">
        <f t="shared" si="5"/>
        <v>0</v>
      </c>
    </row>
    <row r="62" spans="2:7" x14ac:dyDescent="0.3">
      <c r="B62" s="2" t="s">
        <v>8</v>
      </c>
      <c r="C62" s="6">
        <v>0.134121704051086</v>
      </c>
      <c r="D62" s="6"/>
      <c r="E62" s="11"/>
      <c r="F62" s="2">
        <f t="shared" si="4"/>
        <v>0.134121704051086</v>
      </c>
      <c r="G62" s="11">
        <f t="shared" si="5"/>
        <v>0</v>
      </c>
    </row>
    <row r="63" spans="2:7" x14ac:dyDescent="0.3">
      <c r="B63" s="2" t="s">
        <v>9</v>
      </c>
      <c r="C63" s="6">
        <v>2.4829126900909253E-2</v>
      </c>
      <c r="D63" s="6"/>
      <c r="E63" s="11"/>
      <c r="F63" s="2">
        <f t="shared" si="4"/>
        <v>2.4829126900909253E-2</v>
      </c>
      <c r="G63" s="11">
        <f t="shared" si="5"/>
        <v>0</v>
      </c>
    </row>
    <row r="64" spans="2:7" x14ac:dyDescent="0.3">
      <c r="B64" s="2" t="s">
        <v>10</v>
      </c>
      <c r="C64" s="6">
        <v>1.7884021399364531E-2</v>
      </c>
      <c r="D64" s="6"/>
      <c r="E64" s="11"/>
      <c r="F64" s="2">
        <f t="shared" si="4"/>
        <v>1.7884021399364531E-2</v>
      </c>
      <c r="G64" s="11">
        <f t="shared" si="5"/>
        <v>0</v>
      </c>
    </row>
    <row r="65" spans="2:7" x14ac:dyDescent="0.3">
      <c r="B65" s="2" t="s">
        <v>11</v>
      </c>
      <c r="C65" s="6">
        <v>1.958604748183117</v>
      </c>
      <c r="D65" s="6"/>
      <c r="E65" s="11"/>
      <c r="F65" s="2">
        <f t="shared" si="4"/>
        <v>1.958604748183117</v>
      </c>
      <c r="G65" s="11">
        <f t="shared" si="5"/>
        <v>0</v>
      </c>
    </row>
    <row r="66" spans="2:7" x14ac:dyDescent="0.3">
      <c r="B66" s="2" t="s">
        <v>12</v>
      </c>
      <c r="C66" s="6">
        <v>0.39476230392175704</v>
      </c>
      <c r="D66" s="6"/>
      <c r="E66" s="11"/>
      <c r="F66" s="2">
        <f t="shared" si="4"/>
        <v>0.39476230392175704</v>
      </c>
      <c r="G66" s="11">
        <f t="shared" si="5"/>
        <v>0</v>
      </c>
    </row>
    <row r="67" spans="2:7" x14ac:dyDescent="0.3">
      <c r="B67" s="2" t="s">
        <v>13</v>
      </c>
      <c r="C67" s="6">
        <v>3.2147193441500086</v>
      </c>
      <c r="D67" s="6"/>
      <c r="E67" s="11"/>
      <c r="F67" s="2">
        <f t="shared" si="4"/>
        <v>3.2147193441500086</v>
      </c>
      <c r="G67" s="11">
        <f t="shared" si="5"/>
        <v>0</v>
      </c>
    </row>
    <row r="68" spans="2:7" x14ac:dyDescent="0.3">
      <c r="B68" s="2"/>
      <c r="C68" s="6"/>
      <c r="D68" s="6"/>
      <c r="E68" s="11"/>
      <c r="F68" s="18"/>
      <c r="G68" s="19"/>
    </row>
    <row r="69" spans="2:7" ht="17.25" thickBot="1" x14ac:dyDescent="0.35">
      <c r="B69" s="4"/>
      <c r="C69" s="31"/>
      <c r="D69" s="31"/>
      <c r="E69" s="33"/>
      <c r="F69" s="4"/>
      <c r="G69" s="33"/>
    </row>
    <row r="70" spans="2:7" x14ac:dyDescent="0.3">
      <c r="B70" s="18" t="s">
        <v>14</v>
      </c>
      <c r="C70" s="27">
        <v>8.8336673589958057</v>
      </c>
      <c r="D70" s="27"/>
      <c r="E70" s="29"/>
      <c r="F70" s="30">
        <f>AVERAGE(C70:E70)</f>
        <v>8.8336673589958057</v>
      </c>
      <c r="G70" s="29">
        <f>_xlfn.STDEV.P(C70:E70)</f>
        <v>0</v>
      </c>
    </row>
    <row r="71" spans="2:7" x14ac:dyDescent="0.3">
      <c r="B71" s="2" t="s">
        <v>15</v>
      </c>
      <c r="C71" s="7">
        <v>2.5033913205953273</v>
      </c>
      <c r="D71" s="7"/>
      <c r="E71" s="12"/>
      <c r="F71" s="20">
        <f>AVERAGE(C71:E71)</f>
        <v>2.5033913205953273</v>
      </c>
      <c r="G71" s="12">
        <f>_xlfn.STDEV.P(C71:E71)</f>
        <v>0</v>
      </c>
    </row>
    <row r="72" spans="2:7" x14ac:dyDescent="0.3">
      <c r="B72" s="3" t="s">
        <v>16</v>
      </c>
      <c r="C72" s="8">
        <v>28.339207475884713</v>
      </c>
      <c r="D72" s="8"/>
      <c r="E72" s="13"/>
      <c r="F72" s="21">
        <f>AVERAGE(C72:E72)</f>
        <v>28.339207475884713</v>
      </c>
      <c r="G72" s="12">
        <f>_xlfn.STDEV.P(C72:E72)</f>
        <v>0</v>
      </c>
    </row>
    <row r="73" spans="2:7" x14ac:dyDescent="0.3">
      <c r="B73" s="2" t="s">
        <v>17</v>
      </c>
      <c r="C73" s="7">
        <v>10.792272107178922</v>
      </c>
      <c r="D73" s="7"/>
      <c r="E73" s="12"/>
      <c r="F73" s="20">
        <f>AVERAGE(C73:E73)</f>
        <v>10.792272107178922</v>
      </c>
      <c r="G73" s="12">
        <f>_xlfn.STDEV.P(C73:E73)</f>
        <v>0</v>
      </c>
    </row>
    <row r="74" spans="2:7" x14ac:dyDescent="0.3">
      <c r="B74" s="2"/>
      <c r="C74" s="7"/>
      <c r="D74" s="7"/>
      <c r="E74" s="12"/>
      <c r="F74" s="20"/>
      <c r="G74" s="12"/>
    </row>
    <row r="75" spans="2:7" ht="17.25" thickBot="1" x14ac:dyDescent="0.35">
      <c r="B75" s="4" t="s">
        <v>18</v>
      </c>
      <c r="C75" s="9">
        <v>14.401753755250688</v>
      </c>
      <c r="D75" s="9">
        <f>SUM(D55:D67)</f>
        <v>0</v>
      </c>
      <c r="E75" s="14">
        <f>SUM(E55:E67)</f>
        <v>0</v>
      </c>
      <c r="F75" s="22">
        <f>AVERAGE(C75:E75)</f>
        <v>4.8005845850835627</v>
      </c>
      <c r="G75" s="14">
        <f>_xlfn.STDEV.P(C75:E75)</f>
        <v>6.789051827544391</v>
      </c>
    </row>
    <row r="77" spans="2:7" ht="17.25" thickBot="1" x14ac:dyDescent="0.35"/>
    <row r="78" spans="2:7" x14ac:dyDescent="0.3">
      <c r="B78" s="55" t="s">
        <v>33</v>
      </c>
      <c r="C78" s="34" t="s">
        <v>28</v>
      </c>
      <c r="D78" s="34" t="s">
        <v>30</v>
      </c>
      <c r="E78" s="34" t="s">
        <v>32</v>
      </c>
    </row>
    <row r="79" spans="2:7" ht="17.25" thickBot="1" x14ac:dyDescent="0.35">
      <c r="B79" s="56"/>
      <c r="C79" s="31" t="s">
        <v>19</v>
      </c>
      <c r="D79" s="31" t="s">
        <v>19</v>
      </c>
      <c r="E79" s="31" t="s">
        <v>19</v>
      </c>
    </row>
    <row r="80" spans="2:7" x14ac:dyDescent="0.3">
      <c r="B80" s="18" t="s">
        <v>1</v>
      </c>
      <c r="C80" s="46"/>
      <c r="D80" s="46"/>
      <c r="E80" s="46"/>
    </row>
    <row r="81" spans="2:5" x14ac:dyDescent="0.3">
      <c r="B81" s="2" t="s">
        <v>2</v>
      </c>
      <c r="C81" s="6"/>
      <c r="D81" s="6"/>
      <c r="E81" s="6"/>
    </row>
    <row r="82" spans="2:5" x14ac:dyDescent="0.3">
      <c r="B82" s="2" t="s">
        <v>3</v>
      </c>
      <c r="C82" s="6"/>
      <c r="D82" s="6"/>
      <c r="E82" s="6"/>
    </row>
    <row r="83" spans="2:5" x14ac:dyDescent="0.3">
      <c r="B83" s="2" t="s">
        <v>4</v>
      </c>
      <c r="C83" s="6"/>
      <c r="D83" s="6"/>
      <c r="E83" s="6"/>
    </row>
    <row r="84" spans="2:5" x14ac:dyDescent="0.3">
      <c r="B84" s="2" t="s">
        <v>5</v>
      </c>
      <c r="C84" s="6"/>
      <c r="D84" s="6"/>
      <c r="E84" s="6"/>
    </row>
    <row r="85" spans="2:5" x14ac:dyDescent="0.3">
      <c r="B85" s="2" t="s">
        <v>6</v>
      </c>
      <c r="C85" s="6"/>
      <c r="D85" s="6"/>
      <c r="E85" s="6"/>
    </row>
    <row r="86" spans="2:5" x14ac:dyDescent="0.3">
      <c r="B86" s="2" t="s">
        <v>7</v>
      </c>
      <c r="C86" s="6"/>
      <c r="D86" s="6"/>
      <c r="E86" s="6"/>
    </row>
    <row r="87" spans="2:5" x14ac:dyDescent="0.3">
      <c r="B87" s="2" t="s">
        <v>8</v>
      </c>
      <c r="C87" s="6"/>
      <c r="D87" s="6"/>
      <c r="E87" s="6"/>
    </row>
    <row r="88" spans="2:5" x14ac:dyDescent="0.3">
      <c r="B88" s="2" t="s">
        <v>9</v>
      </c>
      <c r="C88" s="6"/>
      <c r="D88" s="6"/>
      <c r="E88" s="6"/>
    </row>
    <row r="89" spans="2:5" x14ac:dyDescent="0.3">
      <c r="B89" s="2" t="s">
        <v>10</v>
      </c>
      <c r="C89" s="6"/>
      <c r="D89" s="6"/>
      <c r="E89" s="6"/>
    </row>
    <row r="90" spans="2:5" x14ac:dyDescent="0.3">
      <c r="B90" s="2" t="s">
        <v>11</v>
      </c>
      <c r="C90" s="6"/>
      <c r="D90" s="6"/>
      <c r="E90" s="6"/>
    </row>
    <row r="91" spans="2:5" x14ac:dyDescent="0.3">
      <c r="B91" s="2" t="s">
        <v>12</v>
      </c>
      <c r="C91" s="6"/>
      <c r="D91" s="6"/>
      <c r="E91" s="6"/>
    </row>
    <row r="92" spans="2:5" ht="17.25" thickBot="1" x14ac:dyDescent="0.35">
      <c r="B92" s="4" t="s">
        <v>13</v>
      </c>
      <c r="C92" s="31"/>
      <c r="D92" s="31"/>
      <c r="E92" s="31"/>
    </row>
    <row r="93" spans="2:5" ht="17.25" thickBot="1" x14ac:dyDescent="0.35">
      <c r="B93" s="47"/>
      <c r="C93" s="48"/>
      <c r="D93" s="48"/>
      <c r="E93" s="48"/>
    </row>
    <row r="94" spans="2:5" ht="17.25" thickBot="1" x14ac:dyDescent="0.35">
      <c r="B94" s="50"/>
      <c r="C94" s="51" t="s">
        <v>27</v>
      </c>
      <c r="D94" s="51" t="s">
        <v>29</v>
      </c>
      <c r="E94" s="51" t="s">
        <v>31</v>
      </c>
    </row>
    <row r="95" spans="2:5" x14ac:dyDescent="0.3">
      <c r="B95" s="18" t="s">
        <v>14</v>
      </c>
      <c r="C95" s="27"/>
      <c r="D95" s="27"/>
      <c r="E95" s="27"/>
    </row>
    <row r="96" spans="2:5" x14ac:dyDescent="0.3">
      <c r="B96" s="2" t="s">
        <v>15</v>
      </c>
      <c r="C96" s="7"/>
      <c r="D96" s="7"/>
      <c r="E96" s="7"/>
    </row>
    <row r="97" spans="2:5" x14ac:dyDescent="0.3">
      <c r="B97" s="3" t="s">
        <v>16</v>
      </c>
      <c r="C97" s="8"/>
      <c r="D97" s="8"/>
      <c r="E97" s="8"/>
    </row>
    <row r="98" spans="2:5" x14ac:dyDescent="0.3">
      <c r="B98" s="2" t="s">
        <v>17</v>
      </c>
      <c r="C98" s="7"/>
      <c r="D98" s="7"/>
      <c r="E98" s="7"/>
    </row>
    <row r="99" spans="2:5" x14ac:dyDescent="0.3">
      <c r="B99" s="2"/>
      <c r="C99" s="7"/>
      <c r="D99" s="7"/>
      <c r="E99" s="7"/>
    </row>
    <row r="100" spans="2:5" ht="17.25" thickBot="1" x14ac:dyDescent="0.35">
      <c r="B100" s="4" t="s">
        <v>18</v>
      </c>
      <c r="C100" s="9">
        <v>13.980135071448364</v>
      </c>
      <c r="D100" s="9">
        <v>14.047057166545017</v>
      </c>
      <c r="E100" s="9">
        <v>13.663815786374519</v>
      </c>
    </row>
    <row r="102" spans="2:5" ht="17.25" thickBot="1" x14ac:dyDescent="0.35"/>
    <row r="103" spans="2:5" x14ac:dyDescent="0.3">
      <c r="B103" s="55" t="s">
        <v>34</v>
      </c>
      <c r="C103" s="34" t="s">
        <v>27</v>
      </c>
      <c r="D103" s="34" t="s">
        <v>29</v>
      </c>
      <c r="E103" s="34" t="s">
        <v>31</v>
      </c>
    </row>
    <row r="104" spans="2:5" ht="17.25" thickBot="1" x14ac:dyDescent="0.35">
      <c r="B104" s="56"/>
      <c r="C104" s="31"/>
      <c r="D104" s="31"/>
      <c r="E104" s="31"/>
    </row>
    <row r="105" spans="2:5" x14ac:dyDescent="0.3">
      <c r="B105" s="1" t="s">
        <v>1</v>
      </c>
      <c r="C105" s="5"/>
      <c r="D105" s="5"/>
      <c r="E105" s="5"/>
    </row>
    <row r="106" spans="2:5" x14ac:dyDescent="0.3">
      <c r="B106" s="2" t="s">
        <v>2</v>
      </c>
      <c r="C106" s="6"/>
      <c r="D106" s="6"/>
      <c r="E106" s="6"/>
    </row>
    <row r="107" spans="2:5" x14ac:dyDescent="0.3">
      <c r="B107" s="2" t="s">
        <v>3</v>
      </c>
      <c r="C107" s="6"/>
      <c r="D107" s="6"/>
      <c r="E107" s="6"/>
    </row>
    <row r="108" spans="2:5" x14ac:dyDescent="0.3">
      <c r="B108" s="2" t="s">
        <v>4</v>
      </c>
      <c r="C108" s="6"/>
      <c r="D108" s="6"/>
      <c r="E108" s="6"/>
    </row>
    <row r="109" spans="2:5" x14ac:dyDescent="0.3">
      <c r="B109" s="2" t="s">
        <v>5</v>
      </c>
      <c r="C109" s="6"/>
      <c r="D109" s="6"/>
      <c r="E109" s="6"/>
    </row>
    <row r="110" spans="2:5" x14ac:dyDescent="0.3">
      <c r="B110" s="2" t="s">
        <v>6</v>
      </c>
      <c r="C110" s="6"/>
      <c r="D110" s="6"/>
      <c r="E110" s="6"/>
    </row>
    <row r="111" spans="2:5" x14ac:dyDescent="0.3">
      <c r="B111" s="2" t="s">
        <v>7</v>
      </c>
      <c r="C111" s="6"/>
      <c r="D111" s="6"/>
      <c r="E111" s="6"/>
    </row>
    <row r="112" spans="2:5" x14ac:dyDescent="0.3">
      <c r="B112" s="2" t="s">
        <v>8</v>
      </c>
      <c r="C112" s="6"/>
      <c r="D112" s="6"/>
      <c r="E112" s="6"/>
    </row>
    <row r="113" spans="2:5" x14ac:dyDescent="0.3">
      <c r="B113" s="2" t="s">
        <v>9</v>
      </c>
      <c r="C113" s="6"/>
      <c r="D113" s="6"/>
      <c r="E113" s="6"/>
    </row>
    <row r="114" spans="2:5" x14ac:dyDescent="0.3">
      <c r="B114" s="2" t="s">
        <v>10</v>
      </c>
      <c r="C114" s="6"/>
      <c r="D114" s="6"/>
      <c r="E114" s="6"/>
    </row>
    <row r="115" spans="2:5" x14ac:dyDescent="0.3">
      <c r="B115" s="2" t="s">
        <v>11</v>
      </c>
      <c r="C115" s="6"/>
      <c r="D115" s="6"/>
      <c r="E115" s="6"/>
    </row>
    <row r="116" spans="2:5" x14ac:dyDescent="0.3">
      <c r="B116" s="2" t="s">
        <v>12</v>
      </c>
      <c r="C116" s="6"/>
      <c r="D116" s="6"/>
      <c r="E116" s="6"/>
    </row>
    <row r="117" spans="2:5" ht="17.25" thickBot="1" x14ac:dyDescent="0.35">
      <c r="B117" s="4" t="s">
        <v>13</v>
      </c>
      <c r="C117" s="31"/>
      <c r="D117" s="31"/>
      <c r="E117" s="31"/>
    </row>
    <row r="118" spans="2:5" ht="17.25" thickBot="1" x14ac:dyDescent="0.35">
      <c r="B118" s="47"/>
      <c r="C118" s="48"/>
      <c r="D118" s="48"/>
      <c r="E118" s="48"/>
    </row>
    <row r="119" spans="2:5" ht="17.25" thickBot="1" x14ac:dyDescent="0.35">
      <c r="B119" s="50"/>
      <c r="C119" s="51" t="s">
        <v>27</v>
      </c>
      <c r="D119" s="51" t="s">
        <v>29</v>
      </c>
      <c r="E119" s="51" t="s">
        <v>31</v>
      </c>
    </row>
    <row r="120" spans="2:5" x14ac:dyDescent="0.3">
      <c r="B120" s="18" t="s">
        <v>14</v>
      </c>
      <c r="C120" s="27"/>
      <c r="D120" s="27"/>
      <c r="E120" s="27"/>
    </row>
    <row r="121" spans="2:5" x14ac:dyDescent="0.3">
      <c r="B121" s="2" t="s">
        <v>15</v>
      </c>
      <c r="C121" s="7"/>
      <c r="D121" s="7"/>
      <c r="E121" s="7"/>
    </row>
    <row r="122" spans="2:5" x14ac:dyDescent="0.3">
      <c r="B122" s="3" t="s">
        <v>16</v>
      </c>
      <c r="C122" s="7"/>
      <c r="D122" s="7"/>
      <c r="E122" s="7"/>
    </row>
    <row r="123" spans="2:5" x14ac:dyDescent="0.3">
      <c r="B123" s="2" t="s">
        <v>17</v>
      </c>
      <c r="C123" s="7"/>
      <c r="D123" s="7"/>
      <c r="E123" s="7"/>
    </row>
    <row r="124" spans="2:5" x14ac:dyDescent="0.3">
      <c r="B124" s="2"/>
      <c r="C124" s="7"/>
      <c r="D124" s="7"/>
      <c r="E124" s="7"/>
    </row>
    <row r="125" spans="2:5" ht="17.25" thickBot="1" x14ac:dyDescent="0.35">
      <c r="B125" s="4" t="s">
        <v>18</v>
      </c>
      <c r="C125" s="9">
        <v>9.3187516895579345E-2</v>
      </c>
      <c r="D125" s="9">
        <v>0.26734987001785543</v>
      </c>
      <c r="E125" s="9">
        <v>0.45462816298999875</v>
      </c>
    </row>
  </sheetData>
  <mergeCells count="8">
    <mergeCell ref="B78:B79"/>
    <mergeCell ref="B103:B104"/>
    <mergeCell ref="B2:G2"/>
    <mergeCell ref="B3:B4"/>
    <mergeCell ref="B27:G27"/>
    <mergeCell ref="B28:B29"/>
    <mergeCell ref="B52:G52"/>
    <mergeCell ref="B53:B54"/>
  </mergeCells>
  <phoneticPr fontId="1" type="noConversion"/>
  <conditionalFormatting sqref="C30:C31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{FB64CE09-F6D6-497E-9FED-79E456399C63}</x14:id>
        </ext>
      </extLst>
    </cfRule>
  </conditionalFormatting>
  <conditionalFormatting sqref="C32:C3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{E7779892-75E2-4E1F-BDA8-A7041636F286}</x14:id>
        </ext>
      </extLst>
    </cfRule>
  </conditionalFormatting>
  <conditionalFormatting sqref="C80:C81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{88B15B7F-FF43-4A93-B3BC-07B8662A2113}</x14:id>
        </ext>
      </extLst>
    </cfRule>
  </conditionalFormatting>
  <conditionalFormatting sqref="C82:C8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{AB42B4D0-133B-4B0A-90C8-A8C82C263DA2}</x14:id>
        </ext>
      </extLst>
    </cfRule>
  </conditionalFormatting>
  <conditionalFormatting sqref="C5:E6">
    <cfRule type="dataBar" priority="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{2621A5A1-AD4F-49DF-B3F2-42D55230C003}</x14:id>
        </ext>
      </extLst>
    </cfRule>
  </conditionalFormatting>
  <conditionalFormatting sqref="C7:E14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{487376A2-D870-40EC-9D7E-45272606E11C}</x14:id>
        </ext>
      </extLst>
    </cfRule>
  </conditionalFormatting>
  <conditionalFormatting sqref="C55:E5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{CD3A8162-E555-49DF-B9C3-22CE1946D3AB}</x14:id>
        </ext>
      </extLst>
    </cfRule>
  </conditionalFormatting>
  <conditionalFormatting sqref="C57:E64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{DD2BA56F-50E9-4ED4-8D2D-DAB38F418CD4}</x14:id>
        </ext>
      </extLst>
    </cfRule>
  </conditionalFormatting>
  <conditionalFormatting sqref="D30:D31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{3709E35B-3F23-4051-9533-DF4D6F952DB2}</x14:id>
        </ext>
      </extLst>
    </cfRule>
  </conditionalFormatting>
  <conditionalFormatting sqref="D32:D3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{34B681DB-E884-4E7F-BD01-4C0E0A8F792D}</x14:id>
        </ext>
      </extLst>
    </cfRule>
  </conditionalFormatting>
  <conditionalFormatting sqref="D80:D81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{14DEC04A-23EE-48EE-A0A9-C4117C990F08}</x14:id>
        </ext>
      </extLst>
    </cfRule>
  </conditionalFormatting>
  <conditionalFormatting sqref="D82:D8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{99AF6EF6-96B3-403E-9FB8-8BA24468401E}</x14:id>
        </ext>
      </extLst>
    </cfRule>
  </conditionalFormatting>
  <conditionalFormatting sqref="E30:E31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{40D095DC-3A19-4775-9A34-506D6FD6EC06}</x14:id>
        </ext>
      </extLst>
    </cfRule>
  </conditionalFormatting>
  <conditionalFormatting sqref="E32:E3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{041A8845-83D1-4A8A-9923-BB7915656835}</x14:id>
        </ext>
      </extLst>
    </cfRule>
  </conditionalFormatting>
  <conditionalFormatting sqref="E80:E8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{3D38FE51-0488-4132-B6ED-2E43BE923EAC}</x14:id>
        </ext>
      </extLst>
    </cfRule>
  </conditionalFormatting>
  <conditionalFormatting sqref="E82:E8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{0876F070-F588-485A-B422-AF37B7C81555}</x14:id>
        </ext>
      </extLst>
    </cfRule>
  </conditionalFormatting>
  <conditionalFormatting sqref="F5:F14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{0979959C-78BA-46B8-AA25-8291CFA999D6}</x14:id>
        </ext>
      </extLst>
    </cfRule>
  </conditionalFormatting>
  <conditionalFormatting sqref="F7:F14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{668C25E5-9317-4BE9-9A1F-EEE59D4A2188}</x14:id>
        </ext>
      </extLst>
    </cfRule>
  </conditionalFormatting>
  <conditionalFormatting sqref="F30:F39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{57D077DF-DE16-474F-BD99-95AA1E76B584}</x14:id>
        </ext>
      </extLst>
    </cfRule>
  </conditionalFormatting>
  <conditionalFormatting sqref="F32:F3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{94381C68-E1DA-4D05-91F4-E03AC301DF09}</x14:id>
        </ext>
      </extLst>
    </cfRule>
  </conditionalFormatting>
  <conditionalFormatting sqref="F55:F64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{97CC502C-91EB-4DE8-B428-0079CA07F62A}</x14:id>
        </ext>
      </extLst>
    </cfRule>
  </conditionalFormatting>
  <conditionalFormatting sqref="F57:F64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{0768C0E7-CB73-470F-9FDC-62CFF8AB205C}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64CE09-F6D6-497E-9FED-79E456399C6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C30:C31</xm:sqref>
        </x14:conditionalFormatting>
        <x14:conditionalFormatting xmlns:xm="http://schemas.microsoft.com/office/excel/2006/main">
          <x14:cfRule type="dataBar" id="{E7779892-75E2-4E1F-BDA8-A7041636F2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C32:C39</xm:sqref>
        </x14:conditionalFormatting>
        <x14:conditionalFormatting xmlns:xm="http://schemas.microsoft.com/office/excel/2006/main">
          <x14:cfRule type="dataBar" id="{88B15B7F-FF43-4A93-B3BC-07B8662A211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C80:C81</xm:sqref>
        </x14:conditionalFormatting>
        <x14:conditionalFormatting xmlns:xm="http://schemas.microsoft.com/office/excel/2006/main">
          <x14:cfRule type="dataBar" id="{AB42B4D0-133B-4B0A-90C8-A8C82C263D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C82:C89</xm:sqref>
        </x14:conditionalFormatting>
        <x14:conditionalFormatting xmlns:xm="http://schemas.microsoft.com/office/excel/2006/main">
          <x14:cfRule type="dataBar" id="{2621A5A1-AD4F-49DF-B3F2-42D55230C00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C5:E6</xm:sqref>
        </x14:conditionalFormatting>
        <x14:conditionalFormatting xmlns:xm="http://schemas.microsoft.com/office/excel/2006/main">
          <x14:cfRule type="dataBar" id="{487376A2-D870-40EC-9D7E-45272606E1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C7:E14</xm:sqref>
        </x14:conditionalFormatting>
        <x14:conditionalFormatting xmlns:xm="http://schemas.microsoft.com/office/excel/2006/main">
          <x14:cfRule type="dataBar" id="{CD3A8162-E555-49DF-B9C3-22CE1946D3A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C55:E56</xm:sqref>
        </x14:conditionalFormatting>
        <x14:conditionalFormatting xmlns:xm="http://schemas.microsoft.com/office/excel/2006/main">
          <x14:cfRule type="dataBar" id="{DD2BA56F-50E9-4ED4-8D2D-DAB38F418C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C57:E64</xm:sqref>
        </x14:conditionalFormatting>
        <x14:conditionalFormatting xmlns:xm="http://schemas.microsoft.com/office/excel/2006/main">
          <x14:cfRule type="dataBar" id="{3709E35B-3F23-4051-9533-DF4D6F952DB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D30:D31</xm:sqref>
        </x14:conditionalFormatting>
        <x14:conditionalFormatting xmlns:xm="http://schemas.microsoft.com/office/excel/2006/main">
          <x14:cfRule type="dataBar" id="{34B681DB-E884-4E7F-BD01-4C0E0A8F79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D32:D39</xm:sqref>
        </x14:conditionalFormatting>
        <x14:conditionalFormatting xmlns:xm="http://schemas.microsoft.com/office/excel/2006/main">
          <x14:cfRule type="dataBar" id="{14DEC04A-23EE-48EE-A0A9-C4117C990F0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D80:D81</xm:sqref>
        </x14:conditionalFormatting>
        <x14:conditionalFormatting xmlns:xm="http://schemas.microsoft.com/office/excel/2006/main">
          <x14:cfRule type="dataBar" id="{99AF6EF6-96B3-403E-9FB8-8BA2446840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D82:D89</xm:sqref>
        </x14:conditionalFormatting>
        <x14:conditionalFormatting xmlns:xm="http://schemas.microsoft.com/office/excel/2006/main">
          <x14:cfRule type="dataBar" id="{40D095DC-3A19-4775-9A34-506D6FD6EC0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E30:E31</xm:sqref>
        </x14:conditionalFormatting>
        <x14:conditionalFormatting xmlns:xm="http://schemas.microsoft.com/office/excel/2006/main">
          <x14:cfRule type="dataBar" id="{041A8845-83D1-4A8A-9923-BB79156568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E32:E39</xm:sqref>
        </x14:conditionalFormatting>
        <x14:conditionalFormatting xmlns:xm="http://schemas.microsoft.com/office/excel/2006/main">
          <x14:cfRule type="dataBar" id="{3D38FE51-0488-4132-B6ED-2E43BE923EA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E80:E81</xm:sqref>
        </x14:conditionalFormatting>
        <x14:conditionalFormatting xmlns:xm="http://schemas.microsoft.com/office/excel/2006/main">
          <x14:cfRule type="dataBar" id="{0876F070-F588-485A-B422-AF37B7C815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E82:E89</xm:sqref>
        </x14:conditionalFormatting>
        <x14:conditionalFormatting xmlns:xm="http://schemas.microsoft.com/office/excel/2006/main">
          <x14:cfRule type="dataBar" id="{0979959C-78BA-46B8-AA25-8291CFA999D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F5:F14</xm:sqref>
        </x14:conditionalFormatting>
        <x14:conditionalFormatting xmlns:xm="http://schemas.microsoft.com/office/excel/2006/main">
          <x14:cfRule type="dataBar" id="{668C25E5-9317-4BE9-9A1F-EEE59D4A2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F7:F14</xm:sqref>
        </x14:conditionalFormatting>
        <x14:conditionalFormatting xmlns:xm="http://schemas.microsoft.com/office/excel/2006/main">
          <x14:cfRule type="dataBar" id="{57D077DF-DE16-474F-BD99-95AA1E76B58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F30:F39</xm:sqref>
        </x14:conditionalFormatting>
        <x14:conditionalFormatting xmlns:xm="http://schemas.microsoft.com/office/excel/2006/main">
          <x14:cfRule type="dataBar" id="{94381C68-E1DA-4D05-91F4-E03AC301DF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F32:F39</xm:sqref>
        </x14:conditionalFormatting>
        <x14:conditionalFormatting xmlns:xm="http://schemas.microsoft.com/office/excel/2006/main">
          <x14:cfRule type="dataBar" id="{97CC502C-91EB-4DE8-B428-0079CA07F62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F55:F64</xm:sqref>
        </x14:conditionalFormatting>
        <x14:conditionalFormatting xmlns:xm="http://schemas.microsoft.com/office/excel/2006/main">
          <x14:cfRule type="dataBar" id="{0768C0E7-CB73-470F-9FDC-62CFF8AB20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F57:F64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Raw 40LPM</vt:lpstr>
      <vt:lpstr>Raw 60LPM</vt:lpstr>
      <vt:lpstr>Needle 40LPM </vt:lpstr>
      <vt:lpstr>Needle 60LPM</vt:lpstr>
      <vt:lpstr>Rod 40LPM</vt:lpstr>
      <vt:lpstr>Rod 60LPM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박기현 [대학원 / 약학과]</dc:creator>
  <cp:lastModifiedBy>강인수 [학부 / 약학과]</cp:lastModifiedBy>
  <dcterms:created xsi:type="dcterms:W3CDTF">2026-03-22T02:09:26Z</dcterms:created>
  <dcterms:modified xsi:type="dcterms:W3CDTF">2026-03-24T03:48:49Z</dcterms:modified>
</cp:coreProperties>
</file>