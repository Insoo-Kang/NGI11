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4LAB\26-1학기\Nintedanib 관련\"/>
    </mc:Choice>
  </mc:AlternateContent>
  <xr:revisionPtr revIDLastSave="0" documentId="13_ncr:1_{DD3B33E3-8E39-459F-A968-AEE8CDE4D253}" xr6:coauthVersionLast="47" xr6:coauthVersionMax="47" xr10:uidLastSave="{00000000-0000-0000-0000-000000000000}"/>
  <bookViews>
    <workbookView xWindow="-120" yWindow="-120" windowWidth="29040" windowHeight="15840" activeTab="2" xr2:uid="{B4F3C7FC-DD1F-4D7A-94E4-11368A856705}"/>
  </bookViews>
  <sheets>
    <sheet name="NE_Raw_40LPM" sheetId="1" r:id="rId1"/>
    <sheet name="NE_Raw_60LPM" sheetId="2" r:id="rId2"/>
    <sheet name="NE_Needle_40LPM" sheetId="3" r:id="rId3"/>
    <sheet name="NE_Needle_60LP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3" l="1"/>
  <c r="I56" i="3"/>
  <c r="I57" i="3"/>
  <c r="I58" i="3"/>
  <c r="I59" i="3"/>
  <c r="I60" i="3"/>
  <c r="I54" i="3"/>
  <c r="H55" i="3"/>
  <c r="H56" i="3"/>
  <c r="K56" i="3" s="1"/>
  <c r="H57" i="3"/>
  <c r="H58" i="3"/>
  <c r="H59" i="3"/>
  <c r="H60" i="3"/>
  <c r="H54" i="3"/>
  <c r="G62" i="3"/>
  <c r="I61" i="3"/>
  <c r="J60" i="3"/>
  <c r="J59" i="3"/>
  <c r="K59" i="3"/>
  <c r="J58" i="3"/>
  <c r="K58" i="3"/>
  <c r="J57" i="3"/>
  <c r="K57" i="3"/>
  <c r="J56" i="3"/>
  <c r="J55" i="3"/>
  <c r="K55" i="3"/>
  <c r="J54" i="3"/>
  <c r="K54" i="3"/>
  <c r="I31" i="3"/>
  <c r="I32" i="3"/>
  <c r="I33" i="3"/>
  <c r="I34" i="3"/>
  <c r="I35" i="3"/>
  <c r="I36" i="3"/>
  <c r="I30" i="3"/>
  <c r="H36" i="3"/>
  <c r="H31" i="3"/>
  <c r="H32" i="3"/>
  <c r="H33" i="3"/>
  <c r="H34" i="3"/>
  <c r="H35" i="3"/>
  <c r="K35" i="3" s="1"/>
  <c r="H30" i="3"/>
  <c r="G38" i="3"/>
  <c r="I37" i="3"/>
  <c r="J36" i="3"/>
  <c r="J35" i="3"/>
  <c r="J34" i="3"/>
  <c r="K34" i="3"/>
  <c r="J33" i="3"/>
  <c r="K33" i="3"/>
  <c r="J32" i="3"/>
  <c r="K32" i="3"/>
  <c r="J31" i="3"/>
  <c r="K31" i="3"/>
  <c r="J30" i="3"/>
  <c r="K30" i="3"/>
  <c r="C72" i="3"/>
  <c r="C48" i="3"/>
  <c r="K19" i="3"/>
  <c r="K18" i="3"/>
  <c r="K17" i="3"/>
  <c r="K16" i="3"/>
  <c r="K15" i="3"/>
  <c r="K7" i="3"/>
  <c r="K8" i="3"/>
  <c r="K9" i="3"/>
  <c r="K10" i="3"/>
  <c r="K11" i="3"/>
  <c r="K12" i="3"/>
  <c r="K6" i="3"/>
  <c r="J7" i="3"/>
  <c r="J8" i="3"/>
  <c r="J9" i="3"/>
  <c r="J10" i="3"/>
  <c r="J11" i="3"/>
  <c r="J12" i="3"/>
  <c r="J6" i="3"/>
  <c r="I7" i="3"/>
  <c r="I8" i="3"/>
  <c r="I9" i="3"/>
  <c r="I10" i="3"/>
  <c r="I11" i="3"/>
  <c r="I12" i="3"/>
  <c r="I13" i="3"/>
  <c r="I6" i="3"/>
  <c r="H7" i="3"/>
  <c r="H8" i="3"/>
  <c r="H9" i="3"/>
  <c r="H10" i="3"/>
  <c r="H11" i="3"/>
  <c r="H12" i="3"/>
  <c r="H6" i="3"/>
  <c r="G14" i="3"/>
  <c r="C24" i="3"/>
  <c r="K60" i="3" l="1"/>
  <c r="K67" i="3"/>
  <c r="K64" i="3"/>
  <c r="K63" i="3"/>
  <c r="K66" i="3" s="1"/>
  <c r="K36" i="3"/>
  <c r="K43" i="3" s="1"/>
  <c r="K65" i="3" l="1"/>
  <c r="K39" i="3"/>
  <c r="K42" i="3" s="1"/>
  <c r="K40" i="3"/>
  <c r="K41" i="3" s="1"/>
</calcChain>
</file>

<file path=xl/sharedStrings.xml><?xml version="1.0" encoding="utf-8"?>
<sst xmlns="http://schemas.openxmlformats.org/spreadsheetml/2006/main" count="120" uniqueCount="32">
  <si>
    <t>30min. blending
40LPM</t>
    <phoneticPr fontId="1" type="noConversion"/>
  </si>
  <si>
    <t>amount(mg)</t>
  </si>
  <si>
    <t>IP</t>
  </si>
  <si>
    <t>PRE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</si>
  <si>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</si>
  <si>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</si>
  <si>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</si>
  <si>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</si>
  <si>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</si>
  <si>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</si>
  <si>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</si>
  <si>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</si>
  <si>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>Remaining</t>
  </si>
  <si>
    <t>Mouth</t>
  </si>
  <si>
    <t>PTP/Vial</t>
  </si>
  <si>
    <t>ED</t>
  </si>
  <si>
    <t>FPD</t>
  </si>
  <si>
    <t>FPF(%)</t>
  </si>
  <si>
    <t>RD</t>
  </si>
  <si>
    <t>Sum All</t>
    <phoneticPr fontId="1" type="noConversion"/>
  </si>
  <si>
    <t>40LPM</t>
    <phoneticPr fontId="1" type="noConversion"/>
  </si>
  <si>
    <r>
      <t>D50(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m)</t>
    </r>
    <phoneticPr fontId="1" type="noConversion"/>
  </si>
  <si>
    <t>amount(mg)</t>
    <phoneticPr fontId="1" type="noConversion"/>
  </si>
  <si>
    <t>Cumulative Under-size</t>
    <phoneticPr fontId="1" type="noConversion"/>
  </si>
  <si>
    <t>cumulative(%)</t>
    <phoneticPr fontId="1" type="noConversion"/>
  </si>
  <si>
    <t>Log D50</t>
    <phoneticPr fontId="1" type="noConversion"/>
  </si>
  <si>
    <t>Probit</t>
    <phoneticPr fontId="1" type="noConversion"/>
  </si>
  <si>
    <t>기울기</t>
    <phoneticPr fontId="1" type="noConversion"/>
  </si>
  <si>
    <t>절편</t>
    <phoneticPr fontId="1" type="noConversion"/>
  </si>
  <si>
    <t>MMAD</t>
    <phoneticPr fontId="1" type="noConversion"/>
  </si>
  <si>
    <t>GSD</t>
    <phoneticPr fontId="1" type="noConversion"/>
  </si>
  <si>
    <t>R²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</si>
</sst>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NE_Needle_40LPM!$K$5</c:f>
              <c:strCache>
                <c:ptCount val="1"/>
                <c:pt idx="0">
                  <c:v>Probit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683573928258967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NE_Needle_40LPM!$J$6:$J$12</c:f>
              <c:numCache>
                <c:formatCode>General</c:formatCode>
                <c:ptCount val="7"/>
                <c:pt idx="0">
                  <c:v>1.0013009330204181</c:v>
                </c:pt>
                <c:pt idx="1">
                  <c:v>0.74115159885178505</c:v>
                </c:pt>
                <c:pt idx="2">
                  <c:v>0.53781909507327419</c:v>
                </c:pt>
                <c:pt idx="3">
                  <c:v>0.30319605742048883</c:v>
                </c:pt>
                <c:pt idx="4">
                  <c:v>6.8185861746161619E-2</c:v>
                </c:pt>
                <c:pt idx="5">
                  <c:v>-0.15490195998574319</c:v>
                </c:pt>
                <c:pt idx="6">
                  <c:v>-0.34678748622465633</c:v>
                </c:pt>
              </c:numCache>
            </c:numRef>
          </c:xVal>
          <c:yVal>
            <c:numRef>
              <c:f>NE_Needle_40LPM!$K$6:$K$12</c:f>
              <c:numCache>
                <c:formatCode>General</c:formatCode>
                <c:ptCount val="7"/>
                <c:pt idx="0">
                  <c:v>6.2519693857830561</c:v>
                </c:pt>
                <c:pt idx="1">
                  <c:v>5.780446981022263</c:v>
                </c:pt>
                <c:pt idx="2">
                  <c:v>5.4084027105104093</c:v>
                </c:pt>
                <c:pt idx="3">
                  <c:v>4.7519829696147093</c:v>
                </c:pt>
                <c:pt idx="4">
                  <c:v>3.8722077844467857</c:v>
                </c:pt>
                <c:pt idx="5">
                  <c:v>3.0517851133575102</c:v>
                </c:pt>
                <c:pt idx="6">
                  <c:v>2.5615387012088089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8-444D-9F7D-BED68CBB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70847"/>
        <c:axId val="1722274687"/>
      </c:scatterChart>
      <c:valAx>
        <c:axId val="17222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2274687"/>
        <c:crosses val="autoZero"/>
        <c:crossBetween val="midCat"/>
      </c:valAx>
      <c:valAx>
        <c:axId val="172227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22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NE_Needle_40LPM!$K$29</c:f>
              <c:strCache>
                <c:ptCount val="1"/>
                <c:pt idx="0">
                  <c:v>Probit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46135170603674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NE_Needle_40LPM!$J$30:$J$36</c:f>
              <c:numCache>
                <c:formatCode>General</c:formatCode>
                <c:ptCount val="7"/>
                <c:pt idx="0">
                  <c:v>1.0013009330204181</c:v>
                </c:pt>
                <c:pt idx="1">
                  <c:v>0.74115159885178505</c:v>
                </c:pt>
                <c:pt idx="2">
                  <c:v>0.53781909507327419</c:v>
                </c:pt>
                <c:pt idx="3">
                  <c:v>0.30319605742048883</c:v>
                </c:pt>
                <c:pt idx="4">
                  <c:v>6.8185861746161619E-2</c:v>
                </c:pt>
                <c:pt idx="5">
                  <c:v>-0.15490195998574319</c:v>
                </c:pt>
                <c:pt idx="6">
                  <c:v>-0.34678748622465633</c:v>
                </c:pt>
              </c:numCache>
            </c:numRef>
          </c:xVal>
          <c:yVal>
            <c:numRef>
              <c:f>NE_Needle_40LPM!$K$30:$K$36</c:f>
              <c:numCache>
                <c:formatCode>General</c:formatCode>
                <c:ptCount val="7"/>
                <c:pt idx="0">
                  <c:v>6.2465336565096017</c:v>
                </c:pt>
                <c:pt idx="1">
                  <c:v>5.7377636189991907</c:v>
                </c:pt>
                <c:pt idx="2">
                  <c:v>5.3791039004832868</c:v>
                </c:pt>
                <c:pt idx="3">
                  <c:v>4.7883880901557418</c:v>
                </c:pt>
                <c:pt idx="4">
                  <c:v>4.0185652511123031</c:v>
                </c:pt>
                <c:pt idx="5">
                  <c:v>3.1044173881471986</c:v>
                </c:pt>
                <c:pt idx="6">
                  <c:v>2.5555966268296375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4-4C86-8EB4-E590B398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200367"/>
        <c:axId val="1576200847"/>
      </c:scatterChart>
      <c:valAx>
        <c:axId val="157620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6200847"/>
        <c:crosses val="autoZero"/>
        <c:crossBetween val="midCat"/>
      </c:valAx>
      <c:valAx>
        <c:axId val="15762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620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5</xdr:row>
      <xdr:rowOff>0</xdr:rowOff>
    </xdr:from>
    <xdr:to>
      <xdr:col>18</xdr:col>
      <xdr:colOff>9525</xdr:colOff>
      <xdr:row>17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1982D51-34D0-49DE-55F9-BDD545DBA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214312</xdr:colOff>
      <xdr:row>28</xdr:row>
      <xdr:rowOff>95250</xdr:rowOff>
    </xdr:from>
    <xdr:to>
      <xdr:col>17</xdr:col>
      <xdr:colOff>671512</xdr:colOff>
      <xdr:row>41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FB75EF8-EE50-D35B-E958-B73BB86B1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1B82-B328-495D-ADD4-B031969E33B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005B-2C02-487A-9A82-D696B9AD28C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ECCA-EC3A-468B-896A-6ECD9DAE43DC}">
  <dimension ref="B1:K72"/>
  <sheetViews>
    <sheetView tabSelected="1" topLeftCell="A6" zoomScaleNormal="100" workbookViewId="0">
      <selection activeCell="K63" sqref="K63"/>
    </sheetView>
  </sheetViews>
  <sheetFormatPr defaultRowHeight="16.5" x14ac:dyDescent="0.3"/>
  <cols>
    <col min="2" max="3" width="15.625" customWidth="1"/>
    <col min="5" max="6" width="10.625" style="16" customWidth="1"/>
    <col min="7" max="7" width="12.75" style="16" bestFit="1" customWidth="1"/>
    <col min="8" max="8" width="22" style="16" bestFit="1" customWidth="1"/>
    <col min="9" max="9" width="14" style="16" bestFit="1" customWidth="1"/>
    <col min="10" max="11" width="10.625" style="16" customWidth="1"/>
  </cols>
  <sheetData>
    <row r="1" spans="2:11" ht="17.25" thickBot="1" x14ac:dyDescent="0.35"/>
    <row r="2" spans="2:11" x14ac:dyDescent="0.3">
      <c r="B2" s="8" t="s">
        <v>0</v>
      </c>
      <c r="C2" s="9">
        <v>46030</v>
      </c>
    </row>
    <row r="3" spans="2:11" x14ac:dyDescent="0.3">
      <c r="B3" s="1"/>
      <c r="C3" s="10" t="s">
        <v>1</v>
      </c>
    </row>
    <row r="4" spans="2:11" ht="17.25" thickBot="1" x14ac:dyDescent="0.35">
      <c r="B4" s="3" t="s">
        <v>2</v>
      </c>
      <c r="C4" s="10">
        <v>1.7787919745671703</v>
      </c>
    </row>
    <row r="5" spans="2:11" ht="17.25" thickBot="1" x14ac:dyDescent="0.35">
      <c r="B5" s="3" t="s">
        <v>3</v>
      </c>
      <c r="C5" s="10">
        <v>5.3582646459026222</v>
      </c>
      <c r="E5" s="27" t="s">
        <v>20</v>
      </c>
      <c r="F5" s="28" t="s">
        <v>21</v>
      </c>
      <c r="G5" s="28" t="s">
        <v>22</v>
      </c>
      <c r="H5" s="28" t="s">
        <v>23</v>
      </c>
      <c r="I5" s="29" t="s">
        <v>24</v>
      </c>
      <c r="J5" s="27" t="s">
        <v>25</v>
      </c>
      <c r="K5" s="30" t="s">
        <v>26</v>
      </c>
    </row>
    <row r="6" spans="2:11" ht="17.25" thickBot="1" x14ac:dyDescent="0.35">
      <c r="B6" s="3" t="s">
        <v>4</v>
      </c>
      <c r="C6" s="10">
        <v>0.23552959607134813</v>
      </c>
      <c r="E6" s="17" t="s">
        <v>4</v>
      </c>
      <c r="F6" s="18">
        <v>10.029999999999999</v>
      </c>
      <c r="G6" s="18">
        <v>0.23552959607134813</v>
      </c>
      <c r="H6" s="18">
        <f>SUM(G7:$G$13)</f>
        <v>2.0014203111528674</v>
      </c>
      <c r="I6" s="23">
        <f>H6/$G$14*100</f>
        <v>89.470949022563886</v>
      </c>
      <c r="J6" s="17">
        <f>LOG10(F6)</f>
        <v>1.0013009330204181</v>
      </c>
      <c r="K6" s="19">
        <f>_xlfn.NORM.S.INV(I6/100)+5</f>
        <v>6.2519693857830561</v>
      </c>
    </row>
    <row r="7" spans="2:11" ht="17.25" thickBot="1" x14ac:dyDescent="0.35">
      <c r="B7" s="3" t="s">
        <v>5</v>
      </c>
      <c r="C7" s="10">
        <v>0.25114997614724044</v>
      </c>
      <c r="E7" s="3" t="s">
        <v>5</v>
      </c>
      <c r="F7" s="2">
        <v>5.51</v>
      </c>
      <c r="G7" s="2">
        <v>0.25114997614724044</v>
      </c>
      <c r="H7" s="2">
        <f>SUM(G8:$G$13)</f>
        <v>1.750270335005627</v>
      </c>
      <c r="I7" s="24">
        <f t="shared" ref="I7:I13" si="0">H7/$G$14*100</f>
        <v>78.243608824370199</v>
      </c>
      <c r="J7" s="17">
        <f t="shared" ref="J7:J12" si="1">LOG10(F7)</f>
        <v>0.74115159885178505</v>
      </c>
      <c r="K7" s="19">
        <f t="shared" ref="K7:K12" si="2">_xlfn.NORM.S.INV(I7/100)+5</f>
        <v>5.780446981022263</v>
      </c>
    </row>
    <row r="8" spans="2:11" ht="17.25" thickBot="1" x14ac:dyDescent="0.35">
      <c r="B8" s="3" t="s">
        <v>6</v>
      </c>
      <c r="C8" s="10">
        <v>0.27721426362695395</v>
      </c>
      <c r="E8" s="3" t="s">
        <v>6</v>
      </c>
      <c r="F8" s="2">
        <v>3.45</v>
      </c>
      <c r="G8" s="2">
        <v>0.27721426362695395</v>
      </c>
      <c r="H8" s="2">
        <f>SUM(G9:$G$13)</f>
        <v>1.4730560713786731</v>
      </c>
      <c r="I8" s="24">
        <f t="shared" si="0"/>
        <v>65.851097810525317</v>
      </c>
      <c r="J8" s="17">
        <f t="shared" si="1"/>
        <v>0.53781909507327419</v>
      </c>
      <c r="K8" s="19">
        <f t="shared" si="2"/>
        <v>5.4084027105104093</v>
      </c>
    </row>
    <row r="9" spans="2:11" ht="17.25" thickBot="1" x14ac:dyDescent="0.35">
      <c r="B9" s="3" t="s">
        <v>7</v>
      </c>
      <c r="C9" s="10">
        <v>0.57366661589345436</v>
      </c>
      <c r="E9" s="3" t="s">
        <v>7</v>
      </c>
      <c r="F9" s="2">
        <v>2.0099999999999998</v>
      </c>
      <c r="G9" s="2">
        <v>0.57366661589345436</v>
      </c>
      <c r="H9" s="2">
        <f>SUM(G10:$G$13)</f>
        <v>0.89938945548521865</v>
      </c>
      <c r="I9" s="24">
        <f t="shared" si="0"/>
        <v>40.206061502792103</v>
      </c>
      <c r="J9" s="17">
        <f t="shared" si="1"/>
        <v>0.30319605742048883</v>
      </c>
      <c r="K9" s="19">
        <f t="shared" si="2"/>
        <v>4.7519829696147093</v>
      </c>
    </row>
    <row r="10" spans="2:11" ht="17.25" thickBot="1" x14ac:dyDescent="0.35">
      <c r="B10" s="3" t="s">
        <v>8</v>
      </c>
      <c r="C10" s="10">
        <v>0.60924846072097716</v>
      </c>
      <c r="E10" s="3" t="s">
        <v>8</v>
      </c>
      <c r="F10" s="2">
        <v>1.17</v>
      </c>
      <c r="G10" s="2">
        <v>0.60924846072097716</v>
      </c>
      <c r="H10" s="2">
        <f>SUM(G11:$G$13)</f>
        <v>0.29014099476424149</v>
      </c>
      <c r="I10" s="24">
        <f t="shared" si="0"/>
        <v>12.970384085367002</v>
      </c>
      <c r="J10" s="17">
        <f t="shared" si="1"/>
        <v>6.8185861746161619E-2</v>
      </c>
      <c r="K10" s="19">
        <f t="shared" si="2"/>
        <v>3.8722077844467857</v>
      </c>
    </row>
    <row r="11" spans="2:11" ht="17.25" thickBot="1" x14ac:dyDescent="0.35">
      <c r="B11" s="3" t="s">
        <v>9</v>
      </c>
      <c r="C11" s="10">
        <v>0.23266339872031905</v>
      </c>
      <c r="E11" s="3" t="s">
        <v>9</v>
      </c>
      <c r="F11" s="2">
        <v>0.7</v>
      </c>
      <c r="G11" s="2">
        <v>0.23266339872031905</v>
      </c>
      <c r="H11" s="2">
        <f>SUM(G12:$G$13)</f>
        <v>5.7477596043922413E-2</v>
      </c>
      <c r="I11" s="24">
        <f t="shared" si="0"/>
        <v>2.5694628144465326</v>
      </c>
      <c r="J11" s="17">
        <f t="shared" si="1"/>
        <v>-0.15490195998574319</v>
      </c>
      <c r="K11" s="19">
        <f t="shared" si="2"/>
        <v>3.0517851133575102</v>
      </c>
    </row>
    <row r="12" spans="2:11" ht="17.25" thickBot="1" x14ac:dyDescent="0.35">
      <c r="B12" s="3" t="s">
        <v>10</v>
      </c>
      <c r="C12" s="10">
        <v>4.0980159823607254E-2</v>
      </c>
      <c r="E12" s="3" t="s">
        <v>10</v>
      </c>
      <c r="F12" s="2">
        <v>0.45</v>
      </c>
      <c r="G12" s="2">
        <v>4.0980159823607254E-2</v>
      </c>
      <c r="H12" s="2">
        <f>SUM(G13:$G$13)</f>
        <v>1.6497436220315159E-2</v>
      </c>
      <c r="I12" s="24">
        <f t="shared" si="0"/>
        <v>0.73749689999927126</v>
      </c>
      <c r="J12" s="20">
        <f t="shared" si="1"/>
        <v>-0.34678748622465633</v>
      </c>
      <c r="K12" s="21">
        <f t="shared" si="2"/>
        <v>2.5615387012088089</v>
      </c>
    </row>
    <row r="13" spans="2:11" ht="17.25" thickBot="1" x14ac:dyDescent="0.35">
      <c r="B13" s="3" t="s">
        <v>11</v>
      </c>
      <c r="C13" s="10">
        <v>1.6497436220315159E-2</v>
      </c>
      <c r="E13" s="4" t="s">
        <v>11</v>
      </c>
      <c r="F13" s="5">
        <v>0</v>
      </c>
      <c r="G13" s="5">
        <v>1.6497436220315159E-2</v>
      </c>
      <c r="H13" s="5">
        <v>0</v>
      </c>
      <c r="I13" s="5">
        <f t="shared" si="0"/>
        <v>0</v>
      </c>
      <c r="J13" s="25"/>
      <c r="K13" s="26"/>
    </row>
    <row r="14" spans="2:11" ht="17.25" thickBot="1" x14ac:dyDescent="0.35">
      <c r="B14" s="3" t="s">
        <v>12</v>
      </c>
      <c r="C14" s="10">
        <v>0.96818376824466257</v>
      </c>
      <c r="G14" s="22">
        <f>SUM(G6:G13)</f>
        <v>2.2369499072242149</v>
      </c>
    </row>
    <row r="15" spans="2:11" x14ac:dyDescent="0.3">
      <c r="B15" s="3" t="s">
        <v>13</v>
      </c>
      <c r="C15" s="10">
        <v>0.93929899193640576</v>
      </c>
      <c r="J15" s="17" t="s">
        <v>27</v>
      </c>
      <c r="K15" s="19">
        <f>SLOPE(K6:K12,J6:J12)</f>
        <v>2.8608846739506122</v>
      </c>
    </row>
    <row r="16" spans="2:11" x14ac:dyDescent="0.3">
      <c r="B16" s="3" t="s">
        <v>14</v>
      </c>
      <c r="C16" s="10">
        <v>2.6167563931233104</v>
      </c>
      <c r="J16" s="3" t="s">
        <v>28</v>
      </c>
      <c r="K16" s="10">
        <f>INTERCEPT(K6:K12,J6:J12)</f>
        <v>3.6467906147129514</v>
      </c>
    </row>
    <row r="17" spans="2:11" x14ac:dyDescent="0.3">
      <c r="B17" s="3"/>
      <c r="C17" s="10"/>
      <c r="J17" s="3" t="s">
        <v>29</v>
      </c>
      <c r="K17" s="10">
        <f>10^((5-K16)/K15)</f>
        <v>2.9716921844367903</v>
      </c>
    </row>
    <row r="18" spans="2:11" ht="17.25" thickBot="1" x14ac:dyDescent="0.35">
      <c r="B18" s="4"/>
      <c r="C18" s="11"/>
      <c r="J18" s="3" t="s">
        <v>30</v>
      </c>
      <c r="K18" s="10">
        <f>10^(1/K15)</f>
        <v>2.2363626322887087</v>
      </c>
    </row>
    <row r="19" spans="2:11" ht="17.25" thickBot="1" x14ac:dyDescent="0.35">
      <c r="B19" s="6" t="s">
        <v>15</v>
      </c>
      <c r="C19" s="12">
        <v>9.3740065276940072</v>
      </c>
      <c r="J19" s="4" t="s">
        <v>31</v>
      </c>
      <c r="K19" s="11">
        <f>RSQ(K6:K12,J6:J12)</f>
        <v>0.98257154922453316</v>
      </c>
    </row>
    <row r="20" spans="2:11" x14ac:dyDescent="0.3">
      <c r="B20" s="3" t="s">
        <v>16</v>
      </c>
      <c r="C20" s="13">
        <v>1.750270335005627</v>
      </c>
    </row>
    <row r="21" spans="2:11" x14ac:dyDescent="0.3">
      <c r="B21" s="7" t="s">
        <v>17</v>
      </c>
      <c r="C21" s="14">
        <v>18.671528869056498</v>
      </c>
    </row>
    <row r="22" spans="2:11" x14ac:dyDescent="0.3">
      <c r="B22" s="3" t="s">
        <v>18</v>
      </c>
      <c r="C22" s="13">
        <v>10.34219029593867</v>
      </c>
    </row>
    <row r="23" spans="2:11" x14ac:dyDescent="0.3">
      <c r="B23" s="3"/>
      <c r="C23" s="13"/>
    </row>
    <row r="24" spans="2:11" ht="17.25" thickBot="1" x14ac:dyDescent="0.35">
      <c r="B24" s="4" t="s">
        <v>19</v>
      </c>
      <c r="C24" s="15">
        <f>SUM(C4:C16)</f>
        <v>13.898245680998386</v>
      </c>
    </row>
    <row r="25" spans="2:11" ht="17.25" thickBot="1" x14ac:dyDescent="0.35"/>
    <row r="26" spans="2:11" x14ac:dyDescent="0.3">
      <c r="B26" s="8" t="s">
        <v>0</v>
      </c>
      <c r="C26" s="9">
        <v>46051</v>
      </c>
    </row>
    <row r="27" spans="2:11" x14ac:dyDescent="0.3">
      <c r="B27" s="1"/>
      <c r="C27" s="10" t="s">
        <v>1</v>
      </c>
    </row>
    <row r="28" spans="2:11" ht="17.25" thickBot="1" x14ac:dyDescent="0.35">
      <c r="B28" s="3" t="s">
        <v>2</v>
      </c>
      <c r="C28" s="10">
        <v>2.3021010437582397</v>
      </c>
    </row>
    <row r="29" spans="2:11" ht="17.25" thickBot="1" x14ac:dyDescent="0.35">
      <c r="B29" s="3" t="s">
        <v>3</v>
      </c>
      <c r="C29" s="10">
        <v>3.8547515715124492</v>
      </c>
      <c r="E29" s="27" t="s">
        <v>20</v>
      </c>
      <c r="F29" s="28" t="s">
        <v>21</v>
      </c>
      <c r="G29" s="28" t="s">
        <v>22</v>
      </c>
      <c r="H29" s="28" t="s">
        <v>23</v>
      </c>
      <c r="I29" s="29" t="s">
        <v>24</v>
      </c>
      <c r="J29" s="27" t="s">
        <v>25</v>
      </c>
      <c r="K29" s="30" t="s">
        <v>26</v>
      </c>
    </row>
    <row r="30" spans="2:11" ht="17.25" thickBot="1" x14ac:dyDescent="0.35">
      <c r="B30" s="3" t="s">
        <v>4</v>
      </c>
      <c r="C30" s="10">
        <v>0.20022179238552759</v>
      </c>
      <c r="E30" s="17" t="s">
        <v>4</v>
      </c>
      <c r="F30" s="18">
        <v>10.029999999999999</v>
      </c>
      <c r="G30" s="18">
        <v>0.20022179238552759</v>
      </c>
      <c r="H30" s="18">
        <f>SUM(G31:$G$37)</f>
        <v>1.6836109842441758</v>
      </c>
      <c r="I30" s="23">
        <f>H30/$G$38*100</f>
        <v>89.37157295119701</v>
      </c>
      <c r="J30" s="17">
        <f>LOG10(F30)</f>
        <v>1.0013009330204181</v>
      </c>
      <c r="K30" s="19">
        <f>_xlfn.NORM.S.INV(I30/100)+5</f>
        <v>6.2465336565096017</v>
      </c>
    </row>
    <row r="31" spans="2:11" ht="17.25" thickBot="1" x14ac:dyDescent="0.35">
      <c r="B31" s="3" t="s">
        <v>5</v>
      </c>
      <c r="C31" s="10">
        <v>0.23367962587108076</v>
      </c>
      <c r="E31" s="3" t="s">
        <v>5</v>
      </c>
      <c r="F31" s="2">
        <v>5.51</v>
      </c>
      <c r="G31" s="2">
        <v>0.23367962587108076</v>
      </c>
      <c r="H31" s="18">
        <f>SUM(G32:$G$37)</f>
        <v>1.4499313583730951</v>
      </c>
      <c r="I31" s="23">
        <f t="shared" ref="I31:I36" si="3">H31/$G$38*100</f>
        <v>76.967094763427696</v>
      </c>
      <c r="J31" s="17">
        <f t="shared" ref="J31:J36" si="4">LOG10(F31)</f>
        <v>0.74115159885178505</v>
      </c>
      <c r="K31" s="19">
        <f t="shared" ref="K31:K36" si="5">_xlfn.NORM.S.INV(I31/100)+5</f>
        <v>5.7377636189991907</v>
      </c>
    </row>
    <row r="32" spans="2:11" ht="17.25" thickBot="1" x14ac:dyDescent="0.35">
      <c r="B32" s="3" t="s">
        <v>6</v>
      </c>
      <c r="C32" s="10">
        <v>0.22978295682974048</v>
      </c>
      <c r="E32" s="3" t="s">
        <v>6</v>
      </c>
      <c r="F32" s="2">
        <v>3.45</v>
      </c>
      <c r="G32" s="2">
        <v>0.22978295682974048</v>
      </c>
      <c r="H32" s="18">
        <f>SUM(G33:$G$37)</f>
        <v>1.2201484015433546</v>
      </c>
      <c r="I32" s="23">
        <f t="shared" si="3"/>
        <v>64.769464502378895</v>
      </c>
      <c r="J32" s="17">
        <f t="shared" si="4"/>
        <v>0.53781909507327419</v>
      </c>
      <c r="K32" s="19">
        <f t="shared" si="5"/>
        <v>5.3791039004832868</v>
      </c>
    </row>
    <row r="33" spans="2:11" ht="17.25" thickBot="1" x14ac:dyDescent="0.35">
      <c r="B33" s="3" t="s">
        <v>7</v>
      </c>
      <c r="C33" s="10">
        <v>0.43608795308252501</v>
      </c>
      <c r="E33" s="3" t="s">
        <v>7</v>
      </c>
      <c r="F33" s="2">
        <v>2.0099999999999998</v>
      </c>
      <c r="G33" s="2">
        <v>0.43608795308252501</v>
      </c>
      <c r="H33" s="18">
        <f>SUM(G34:$G$37)</f>
        <v>0.78406044846082967</v>
      </c>
      <c r="I33" s="23">
        <f t="shared" si="3"/>
        <v>41.620490851824101</v>
      </c>
      <c r="J33" s="17">
        <f t="shared" si="4"/>
        <v>0.30319605742048883</v>
      </c>
      <c r="K33" s="19">
        <f t="shared" si="5"/>
        <v>4.7883880901557418</v>
      </c>
    </row>
    <row r="34" spans="2:11" ht="17.25" thickBot="1" x14ac:dyDescent="0.35">
      <c r="B34" s="3" t="s">
        <v>8</v>
      </c>
      <c r="C34" s="10">
        <v>0.47663928727279237</v>
      </c>
      <c r="E34" s="3" t="s">
        <v>8</v>
      </c>
      <c r="F34" s="2">
        <v>1.17</v>
      </c>
      <c r="G34" s="2">
        <v>0.47663928727279237</v>
      </c>
      <c r="H34" s="18">
        <f>SUM(G35:$G$37)</f>
        <v>0.30742116118803725</v>
      </c>
      <c r="I34" s="23">
        <f t="shared" si="3"/>
        <v>16.318919863897538</v>
      </c>
      <c r="J34" s="17">
        <f t="shared" si="4"/>
        <v>6.8185861746161619E-2</v>
      </c>
      <c r="K34" s="19">
        <f t="shared" si="5"/>
        <v>4.0185652511123031</v>
      </c>
    </row>
    <row r="35" spans="2:11" ht="17.25" thickBot="1" x14ac:dyDescent="0.35">
      <c r="B35" s="3" t="s">
        <v>9</v>
      </c>
      <c r="C35" s="10">
        <v>0.25277563859818863</v>
      </c>
      <c r="E35" s="3" t="s">
        <v>9</v>
      </c>
      <c r="F35" s="2">
        <v>0.7</v>
      </c>
      <c r="G35" s="2">
        <v>0.25277563859818863</v>
      </c>
      <c r="H35" s="18">
        <f>SUM(G36:$G$37)</f>
        <v>5.4645522589848623E-2</v>
      </c>
      <c r="I35" s="23">
        <f t="shared" si="3"/>
        <v>2.9007629163143096</v>
      </c>
      <c r="J35" s="17">
        <f t="shared" si="4"/>
        <v>-0.15490195998574319</v>
      </c>
      <c r="K35" s="19">
        <f t="shared" si="5"/>
        <v>3.1044173881471986</v>
      </c>
    </row>
    <row r="36" spans="2:11" ht="17.25" thickBot="1" x14ac:dyDescent="0.35">
      <c r="B36" s="3" t="s">
        <v>10</v>
      </c>
      <c r="C36" s="10">
        <v>4.0979074858678431E-2</v>
      </c>
      <c r="E36" s="3" t="s">
        <v>10</v>
      </c>
      <c r="F36" s="2">
        <v>0.45</v>
      </c>
      <c r="G36" s="2">
        <v>4.0979074858678431E-2</v>
      </c>
      <c r="H36" s="18">
        <f>SUM(G37:$G$37)</f>
        <v>1.3666447731170192E-2</v>
      </c>
      <c r="I36" s="23">
        <f t="shared" si="3"/>
        <v>0.72545970644062863</v>
      </c>
      <c r="J36" s="20">
        <f t="shared" si="4"/>
        <v>-0.34678748622465633</v>
      </c>
      <c r="K36" s="21">
        <f t="shared" si="5"/>
        <v>2.5555966268296375</v>
      </c>
    </row>
    <row r="37" spans="2:11" ht="17.25" thickBot="1" x14ac:dyDescent="0.35">
      <c r="B37" s="3" t="s">
        <v>11</v>
      </c>
      <c r="C37" s="10">
        <v>1.3666447731170192E-2</v>
      </c>
      <c r="E37" s="4" t="s">
        <v>11</v>
      </c>
      <c r="F37" s="5">
        <v>0</v>
      </c>
      <c r="G37" s="5">
        <v>1.3666447731170192E-2</v>
      </c>
      <c r="H37" s="5">
        <v>0</v>
      </c>
      <c r="I37" s="5">
        <f t="shared" ref="I31:I37" si="6">H37/$G$14*100</f>
        <v>0</v>
      </c>
      <c r="J37" s="25"/>
      <c r="K37" s="26"/>
    </row>
    <row r="38" spans="2:11" ht="17.25" thickBot="1" x14ac:dyDescent="0.35">
      <c r="B38" s="3" t="s">
        <v>12</v>
      </c>
      <c r="C38" s="10">
        <v>0.67331735471316745</v>
      </c>
      <c r="G38" s="22">
        <f>SUM(G30:G37)</f>
        <v>1.8838327766297036</v>
      </c>
    </row>
    <row r="39" spans="2:11" x14ac:dyDescent="0.3">
      <c r="B39" s="3" t="s">
        <v>13</v>
      </c>
      <c r="C39" s="10">
        <v>1.6214478016804343</v>
      </c>
      <c r="J39" s="17" t="s">
        <v>27</v>
      </c>
      <c r="K39" s="19">
        <f>SLOPE(K30:K36,J30:J36)</f>
        <v>2.8013727342649966</v>
      </c>
    </row>
    <row r="40" spans="2:11" x14ac:dyDescent="0.3">
      <c r="B40" s="3" t="s">
        <v>14</v>
      </c>
      <c r="C40" s="10">
        <v>3.0016026930819262</v>
      </c>
      <c r="J40" s="3" t="s">
        <v>28</v>
      </c>
      <c r="K40" s="10">
        <f>INTERCEPT(K30:K36,J30:J36)</f>
        <v>3.6867882461605244</v>
      </c>
    </row>
    <row r="41" spans="2:11" x14ac:dyDescent="0.3">
      <c r="B41" s="3"/>
      <c r="C41" s="10"/>
      <c r="J41" s="3" t="s">
        <v>29</v>
      </c>
      <c r="K41" s="10">
        <f>10^((5-K40)/K39)</f>
        <v>2.9428923457968685</v>
      </c>
    </row>
    <row r="42" spans="2:11" ht="17.25" thickBot="1" x14ac:dyDescent="0.35">
      <c r="B42" s="4"/>
      <c r="C42" s="11"/>
      <c r="J42" s="3" t="s">
        <v>30</v>
      </c>
      <c r="K42" s="10">
        <f>10^(1/K39)</f>
        <v>2.274929012103069</v>
      </c>
    </row>
    <row r="43" spans="2:11" ht="17.25" thickBot="1" x14ac:dyDescent="0.35">
      <c r="B43" s="6" t="s">
        <v>15</v>
      </c>
      <c r="C43" s="12">
        <v>8.0406853919003929</v>
      </c>
      <c r="J43" s="4" t="s">
        <v>31</v>
      </c>
      <c r="K43" s="11">
        <f>RSQ(K30:K36,J30:J36)</f>
        <v>0.98012369548363754</v>
      </c>
    </row>
    <row r="44" spans="2:11" x14ac:dyDescent="0.3">
      <c r="B44" s="3" t="s">
        <v>16</v>
      </c>
      <c r="C44" s="13">
        <v>1.4499313583730951</v>
      </c>
    </row>
    <row r="45" spans="2:11" x14ac:dyDescent="0.3">
      <c r="B45" s="7" t="s">
        <v>17</v>
      </c>
      <c r="C45" s="14">
        <v>18.032434894588111</v>
      </c>
    </row>
    <row r="46" spans="2:11" x14ac:dyDescent="0.3">
      <c r="B46" s="3" t="s">
        <v>18</v>
      </c>
      <c r="C46" s="13">
        <v>8.714002746613561</v>
      </c>
    </row>
    <row r="47" spans="2:11" x14ac:dyDescent="0.3">
      <c r="B47" s="3"/>
      <c r="C47" s="13"/>
    </row>
    <row r="48" spans="2:11" ht="17.25" thickBot="1" x14ac:dyDescent="0.35">
      <c r="B48" s="4" t="s">
        <v>19</v>
      </c>
      <c r="C48" s="15">
        <f>SUM(C28:C40)</f>
        <v>13.337053241375921</v>
      </c>
    </row>
    <row r="49" spans="2:11" ht="17.25" thickBot="1" x14ac:dyDescent="0.35"/>
    <row r="50" spans="2:11" x14ac:dyDescent="0.3">
      <c r="B50" s="8" t="s">
        <v>0</v>
      </c>
      <c r="C50" s="9">
        <v>46065</v>
      </c>
    </row>
    <row r="51" spans="2:11" x14ac:dyDescent="0.3">
      <c r="B51" s="1"/>
      <c r="C51" s="10" t="s">
        <v>1</v>
      </c>
    </row>
    <row r="52" spans="2:11" ht="17.25" thickBot="1" x14ac:dyDescent="0.35">
      <c r="B52" s="3" t="s">
        <v>2</v>
      </c>
      <c r="C52" s="10">
        <v>1.946515022969864</v>
      </c>
    </row>
    <row r="53" spans="2:11" ht="17.25" thickBot="1" x14ac:dyDescent="0.35">
      <c r="B53" s="3" t="s">
        <v>3</v>
      </c>
      <c r="C53" s="10">
        <v>4.8445384944466063</v>
      </c>
      <c r="E53" s="27" t="s">
        <v>20</v>
      </c>
      <c r="F53" s="28" t="s">
        <v>21</v>
      </c>
      <c r="G53" s="28" t="s">
        <v>22</v>
      </c>
      <c r="H53" s="28" t="s">
        <v>23</v>
      </c>
      <c r="I53" s="29" t="s">
        <v>24</v>
      </c>
      <c r="J53" s="27" t="s">
        <v>25</v>
      </c>
      <c r="K53" s="30" t="s">
        <v>26</v>
      </c>
    </row>
    <row r="54" spans="2:11" ht="17.25" thickBot="1" x14ac:dyDescent="0.35">
      <c r="B54" s="3" t="s">
        <v>4</v>
      </c>
      <c r="C54" s="10">
        <v>0.21511482597267734</v>
      </c>
      <c r="E54" s="17" t="s">
        <v>4</v>
      </c>
      <c r="F54" s="18">
        <v>10.029999999999999</v>
      </c>
      <c r="G54" s="18">
        <v>0.21511482597267734</v>
      </c>
      <c r="H54" s="18">
        <f>SUM(G55:$G$61)</f>
        <v>1.7717770193034983</v>
      </c>
      <c r="I54" s="23">
        <f>H54/$G$62*100</f>
        <v>89.173299669827955</v>
      </c>
      <c r="J54" s="17">
        <f>LOG10(F54)</f>
        <v>1.0013009330204181</v>
      </c>
      <c r="K54" s="19">
        <f>_xlfn.NORM.S.INV(I54/100)+5</f>
        <v>6.2357970640296125</v>
      </c>
    </row>
    <row r="55" spans="2:11" ht="17.25" thickBot="1" x14ac:dyDescent="0.35">
      <c r="B55" s="3" t="s">
        <v>5</v>
      </c>
      <c r="C55" s="10">
        <v>0.24092085680045974</v>
      </c>
      <c r="E55" s="3" t="s">
        <v>5</v>
      </c>
      <c r="F55" s="2">
        <v>5.51</v>
      </c>
      <c r="G55" s="2">
        <v>0.24092085680045974</v>
      </c>
      <c r="H55" s="18">
        <f>SUM(G56:$G$61)</f>
        <v>1.5308561625030384</v>
      </c>
      <c r="I55" s="23">
        <f t="shared" ref="I55:I60" si="7">H55/$G$62*100</f>
        <v>77.047785270377972</v>
      </c>
      <c r="J55" s="17">
        <f t="shared" ref="J55:J60" si="8">LOG10(F55)</f>
        <v>0.74115159885178505</v>
      </c>
      <c r="K55" s="19">
        <f t="shared" ref="K55:K60" si="9">_xlfn.NORM.S.INV(I55/100)+5</f>
        <v>5.7404214710858188</v>
      </c>
    </row>
    <row r="56" spans="2:11" ht="17.25" thickBot="1" x14ac:dyDescent="0.35">
      <c r="B56" s="3" t="s">
        <v>6</v>
      </c>
      <c r="C56" s="10">
        <v>0.20881621957324276</v>
      </c>
      <c r="E56" s="3" t="s">
        <v>6</v>
      </c>
      <c r="F56" s="2">
        <v>3.45</v>
      </c>
      <c r="G56" s="2">
        <v>0.20881621957324276</v>
      </c>
      <c r="H56" s="18">
        <f>SUM(G57:$G$61)</f>
        <v>1.3220399429297958</v>
      </c>
      <c r="I56" s="23">
        <f t="shared" si="7"/>
        <v>66.538092955232486</v>
      </c>
      <c r="J56" s="17">
        <f t="shared" si="8"/>
        <v>0.53781909507327419</v>
      </c>
      <c r="K56" s="19">
        <f t="shared" si="9"/>
        <v>5.4271938493032259</v>
      </c>
    </row>
    <row r="57" spans="2:11" ht="17.25" thickBot="1" x14ac:dyDescent="0.35">
      <c r="B57" s="3" t="s">
        <v>7</v>
      </c>
      <c r="C57" s="10">
        <v>0.38509747133457584</v>
      </c>
      <c r="E57" s="3" t="s">
        <v>7</v>
      </c>
      <c r="F57" s="2">
        <v>2.0099999999999998</v>
      </c>
      <c r="G57" s="2">
        <v>0.38509747133457584</v>
      </c>
      <c r="H57" s="18">
        <f>SUM(G58:$G$61)</f>
        <v>0.93694247159522004</v>
      </c>
      <c r="I57" s="23">
        <f t="shared" si="7"/>
        <v>47.156188889837949</v>
      </c>
      <c r="J57" s="17">
        <f t="shared" si="8"/>
        <v>0.30319605742048883</v>
      </c>
      <c r="K57" s="19">
        <f t="shared" si="9"/>
        <v>4.9286557490858609</v>
      </c>
    </row>
    <row r="58" spans="2:11" ht="17.25" thickBot="1" x14ac:dyDescent="0.35">
      <c r="B58" s="3" t="s">
        <v>8</v>
      </c>
      <c r="C58" s="10">
        <v>0.54874644143063034</v>
      </c>
      <c r="E58" s="3" t="s">
        <v>8</v>
      </c>
      <c r="F58" s="2">
        <v>1.17</v>
      </c>
      <c r="G58" s="2">
        <v>0.54874644143063034</v>
      </c>
      <c r="H58" s="18">
        <f>SUM(G59:$G$61)</f>
        <v>0.38819603016458964</v>
      </c>
      <c r="I58" s="23">
        <f t="shared" si="7"/>
        <v>19.537854115588807</v>
      </c>
      <c r="J58" s="17">
        <f t="shared" si="8"/>
        <v>6.8185861746161619E-2</v>
      </c>
      <c r="K58" s="19">
        <f t="shared" si="9"/>
        <v>4.1417548004356251</v>
      </c>
    </row>
    <row r="59" spans="2:11" ht="17.25" thickBot="1" x14ac:dyDescent="0.35">
      <c r="B59" s="3" t="s">
        <v>9</v>
      </c>
      <c r="C59" s="10">
        <v>0.30506380839876013</v>
      </c>
      <c r="E59" s="3" t="s">
        <v>9</v>
      </c>
      <c r="F59" s="2">
        <v>0.7</v>
      </c>
      <c r="G59" s="2">
        <v>0.30506380839876013</v>
      </c>
      <c r="H59" s="18">
        <f>SUM(G60:$G$61)</f>
        <v>8.3132221765829517E-2</v>
      </c>
      <c r="I59" s="23">
        <f t="shared" si="7"/>
        <v>4.18403356798086</v>
      </c>
      <c r="J59" s="17">
        <f t="shared" si="8"/>
        <v>-0.15490195998574319</v>
      </c>
      <c r="K59" s="19">
        <f t="shared" si="9"/>
        <v>3.2702820013503482</v>
      </c>
    </row>
    <row r="60" spans="2:11" ht="17.25" thickBot="1" x14ac:dyDescent="0.35">
      <c r="B60" s="3" t="s">
        <v>10</v>
      </c>
      <c r="C60" s="10">
        <v>6.1554174774735883E-2</v>
      </c>
      <c r="E60" s="3" t="s">
        <v>10</v>
      </c>
      <c r="F60" s="2">
        <v>0.45</v>
      </c>
      <c r="G60" s="2">
        <v>6.1554174774735883E-2</v>
      </c>
      <c r="H60" s="18">
        <f>SUM(G61:$G$61)</f>
        <v>2.1578046991093638E-2</v>
      </c>
      <c r="I60" s="23">
        <f t="shared" si="7"/>
        <v>1.0860202100278045</v>
      </c>
      <c r="J60" s="20">
        <f t="shared" si="8"/>
        <v>-0.34678748622465633</v>
      </c>
      <c r="K60" s="21">
        <f t="shared" si="9"/>
        <v>2.7047779857153489</v>
      </c>
    </row>
    <row r="61" spans="2:11" ht="17.25" thickBot="1" x14ac:dyDescent="0.35">
      <c r="B61" s="3" t="s">
        <v>11</v>
      </c>
      <c r="C61" s="10">
        <v>2.1578046991093638E-2</v>
      </c>
      <c r="E61" s="4" t="s">
        <v>11</v>
      </c>
      <c r="F61" s="5">
        <v>0</v>
      </c>
      <c r="G61" s="5">
        <v>2.1578046991093638E-2</v>
      </c>
      <c r="H61" s="5">
        <v>0</v>
      </c>
      <c r="I61" s="5">
        <f t="shared" ref="I61" si="10">H61/$G$14*100</f>
        <v>0</v>
      </c>
      <c r="J61" s="25"/>
      <c r="K61" s="26"/>
    </row>
    <row r="62" spans="2:11" ht="17.25" thickBot="1" x14ac:dyDescent="0.35">
      <c r="B62" s="3" t="s">
        <v>12</v>
      </c>
      <c r="C62" s="10">
        <v>1.6081374519335034</v>
      </c>
      <c r="G62" s="22">
        <f>SUM(G54:G61)</f>
        <v>1.9868918452761755</v>
      </c>
    </row>
    <row r="63" spans="2:11" x14ac:dyDescent="0.3">
      <c r="B63" s="3" t="s">
        <v>13</v>
      </c>
      <c r="C63" s="10">
        <v>0.74480611386043893</v>
      </c>
      <c r="J63" s="17" t="s">
        <v>27</v>
      </c>
      <c r="K63" s="19">
        <f>SLOPE(K54:K60,J54:J60)</f>
        <v>2.6611246203934584</v>
      </c>
    </row>
    <row r="64" spans="2:11" x14ac:dyDescent="0.3">
      <c r="B64" s="3" t="s">
        <v>14</v>
      </c>
      <c r="C64" s="10">
        <v>2.9301319933508889</v>
      </c>
      <c r="J64" s="3" t="s">
        <v>28</v>
      </c>
      <c r="K64" s="10">
        <f>INTERCEPT(K54:K60,J54:J60)</f>
        <v>3.8182229316850416</v>
      </c>
    </row>
    <row r="65" spans="2:11" x14ac:dyDescent="0.3">
      <c r="B65" s="3"/>
      <c r="C65" s="10"/>
      <c r="J65" s="3" t="s">
        <v>29</v>
      </c>
      <c r="K65" s="10">
        <f>10^((5-K64)/K63)</f>
        <v>2.7802851303240477</v>
      </c>
    </row>
    <row r="66" spans="2:11" ht="17.25" thickBot="1" x14ac:dyDescent="0.35">
      <c r="B66" s="4"/>
      <c r="C66" s="11"/>
      <c r="J66" s="3" t="s">
        <v>30</v>
      </c>
      <c r="K66" s="10">
        <f>10^(1/K63)</f>
        <v>2.3756418828089783</v>
      </c>
    </row>
    <row r="67" spans="2:11" ht="17.25" thickBot="1" x14ac:dyDescent="0.35">
      <c r="B67" s="6" t="s">
        <v>15</v>
      </c>
      <c r="C67" s="12">
        <v>8.7779453626926465</v>
      </c>
      <c r="J67" s="4" t="s">
        <v>31</v>
      </c>
      <c r="K67" s="11">
        <f>RSQ(K54:K60,J54:J60)</f>
        <v>0.9746141960621989</v>
      </c>
    </row>
    <row r="68" spans="2:11" x14ac:dyDescent="0.3">
      <c r="B68" s="3" t="s">
        <v>16</v>
      </c>
      <c r="C68" s="13">
        <v>1.5308561625030384</v>
      </c>
    </row>
    <row r="69" spans="2:11" x14ac:dyDescent="0.3">
      <c r="B69" s="7" t="s">
        <v>17</v>
      </c>
      <c r="C69" s="14">
        <v>17.439800537029615</v>
      </c>
    </row>
    <row r="70" spans="2:11" x14ac:dyDescent="0.3">
      <c r="B70" s="3" t="s">
        <v>18</v>
      </c>
      <c r="C70" s="13">
        <v>10.38608281462615</v>
      </c>
    </row>
    <row r="71" spans="2:11" x14ac:dyDescent="0.3">
      <c r="B71" s="3"/>
      <c r="C71" s="13"/>
    </row>
    <row r="72" spans="2:11" ht="17.25" thickBot="1" x14ac:dyDescent="0.35">
      <c r="B72" s="4" t="s">
        <v>19</v>
      </c>
      <c r="C72" s="15">
        <f>SUM(C52:C64)</f>
        <v>14.061020921837477</v>
      </c>
    </row>
  </sheetData>
  <mergeCells count="3">
    <mergeCell ref="B2:B3"/>
    <mergeCell ref="B26:B27"/>
    <mergeCell ref="B50:B51"/>
  </mergeCells>
  <phoneticPr fontId="1" type="noConversion"/>
  <conditionalFormatting sqref="C6:C1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{FEE6B409-57AD-46CE-AAB9-17F5DB33137C}</x14:id>
        </ext>
      </extLst>
    </cfRule>
  </conditionalFormatting>
  <conditionalFormatting sqref="C4:C5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{EBA9445D-8D6E-4E4F-843B-224C4D06596C}</x14:id>
        </ext>
      </extLst>
    </cfRule>
  </conditionalFormatting>
  <conditionalFormatting sqref="C6:C1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{36D11AD3-747A-497A-8AE8-9E7C551C94CB}</x14:id>
        </ext>
      </extLst>
    </cfRule>
  </conditionalFormatting>
  <conditionalFormatting sqref="C28:C29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{1B840F4B-ECB0-4E5F-BAA8-DB42EC3DFE31}</x14:id>
        </ext>
      </extLst>
    </cfRule>
  </conditionalFormatting>
  <conditionalFormatting sqref="C30:C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{B89A88BB-678D-4183-A91C-C7A3DC3773B2}</x14:id>
        </ext>
      </extLst>
    </cfRule>
  </conditionalFormatting>
  <conditionalFormatting sqref="C30:C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{2CE9521D-22BA-4FF7-B0B3-7602E97E7B56}</x14:id>
        </ext>
      </extLst>
    </cfRule>
  </conditionalFormatting>
  <conditionalFormatting sqref="C52:C5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{321DA2D7-7CB9-4F9E-A813-CD8BEA71238B}</x14:id>
        </ext>
      </extLst>
    </cfRule>
  </conditionalFormatting>
  <conditionalFormatting sqref="C54:C6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{8AE094E4-748B-45A6-8F3B-D763309B57FD}</x14:id>
        </ext>
      </extLst>
    </cfRule>
  </conditionalFormatting>
  <conditionalFormatting sqref="C54:C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{AF304D7A-0508-450D-978B-CFDA1544CF05}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E6B409-57AD-46CE-AAB9-17F5DB331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C6:C13</xm:sqref>
        </x14:conditionalFormatting>
        <x14:conditionalFormatting xmlns:xm="http://schemas.microsoft.com/office/excel/2006/main">
          <x14:cfRule type="dataBar" id="{EBA9445D-8D6E-4E4F-843B-224C4D0659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C4:C5</xm:sqref>
        </x14:conditionalFormatting>
        <x14:conditionalFormatting xmlns:xm="http://schemas.microsoft.com/office/excel/2006/main">
          <x14:cfRule type="dataBar" id="{36D11AD3-747A-497A-8AE8-9E7C551C94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C6:C13</xm:sqref>
        </x14:conditionalFormatting>
        <x14:conditionalFormatting xmlns:xm="http://schemas.microsoft.com/office/excel/2006/main">
          <x14:cfRule type="dataBar" id="{1B840F4B-ECB0-4E5F-BAA8-DB42EC3DFE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C28:C29</xm:sqref>
        </x14:conditionalFormatting>
        <x14:conditionalFormatting xmlns:xm="http://schemas.microsoft.com/office/excel/2006/main">
          <x14:cfRule type="dataBar" id="{B89A88BB-678D-4183-A91C-C7A3DC377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C30:C37</xm:sqref>
        </x14:conditionalFormatting>
        <x14:conditionalFormatting xmlns:xm="http://schemas.microsoft.com/office/excel/2006/main">
          <x14:cfRule type="dataBar" id="{2CE9521D-22BA-4FF7-B0B3-7602E97E7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C30:C37</xm:sqref>
        </x14:conditionalFormatting>
        <x14:conditionalFormatting xmlns:xm="http://schemas.microsoft.com/office/excel/2006/main">
          <x14:cfRule type="dataBar" id="{321DA2D7-7CB9-4F9E-A813-CD8BEA7123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C52:C53</xm:sqref>
        </x14:conditionalFormatting>
        <x14:conditionalFormatting xmlns:xm="http://schemas.microsoft.com/office/excel/2006/main">
          <x14:cfRule type="dataBar" id="{8AE094E4-748B-45A6-8F3B-D763309B57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C54:C61</xm:sqref>
        </x14:conditionalFormatting>
        <x14:conditionalFormatting xmlns:xm="http://schemas.microsoft.com/office/excel/2006/main">
          <x14:cfRule type="dataBar" id="{AF304D7A-0508-450D-978B-CFDA1544CF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C54:C61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C95B-F151-4896-B094-E37B472C8C2B}">
  <dimension ref="A1"/>
  <sheetViews>
    <sheetView workbookViewId="0">
      <selection activeCell="H26" sqref="H2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NE_Raw_40LPM</vt:lpstr>
      <vt:lpstr>NE_Raw_60LPM</vt:lpstr>
      <vt:lpstr>NE_Needle_40LPM</vt:lpstr>
      <vt:lpstr>NE_Needle_60LPM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박기현 [대학원 / 약학과]</dc:creator>
  <cp:lastModifiedBy>박기현 [대학원 / 약학과]</cp:lastModifiedBy>
  <dcterms:created xsi:type="dcterms:W3CDTF">2026-04-01T05:39:45Z</dcterms:created>
  <dcterms:modified xsi:type="dcterms:W3CDTF">2026-04-01T06:03:12Z</dcterms:modified>
</cp:coreProperties>
</file>